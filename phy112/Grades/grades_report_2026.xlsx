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ate1904="1"/>
  <mc:AlternateContent xmlns:mc="http://schemas.openxmlformats.org/markup-compatibility/2006">
    <mc:Choice Requires="x15">
      <x15ac:absPath xmlns:x15ac="http://schemas.microsoft.com/office/spreadsheetml/2010/11/ac" url="/Users/ptohos/Documents/MyCourses/FYS112/2026/Grades/"/>
    </mc:Choice>
  </mc:AlternateContent>
  <xr:revisionPtr revIDLastSave="0" documentId="13_ncr:1_{665692D4-BE09-D240-B91A-7590DA72E784}" xr6:coauthVersionLast="47" xr6:coauthVersionMax="47" xr10:uidLastSave="{00000000-0000-0000-0000-000000000000}"/>
  <bookViews>
    <workbookView xWindow="4100" yWindow="680" windowWidth="32920" windowHeight="19260" tabRatio="334" xr2:uid="{00000000-000D-0000-FFFF-FFFF00000000}"/>
  </bookViews>
  <sheets>
    <sheet name="Quiz" sheetId="1" r:id="rId1"/>
    <sheet name="Exams" sheetId="3" r:id="rId2"/>
    <sheet name="Grad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2" l="1"/>
  <c r="D40" i="2"/>
  <c r="C40" i="2"/>
  <c r="D42" i="2"/>
  <c r="D39" i="2"/>
  <c r="C39" i="2"/>
  <c r="B43" i="3"/>
  <c r="D38" i="2"/>
  <c r="D37" i="2"/>
  <c r="D36" i="2"/>
  <c r="D35" i="2"/>
  <c r="D34" i="2"/>
  <c r="C38" i="2"/>
  <c r="C37" i="2"/>
  <c r="C36" i="2"/>
  <c r="C35" i="2"/>
  <c r="C34" i="2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6" i="1"/>
  <c r="B45" i="1"/>
  <c r="B44" i="1"/>
  <c r="B43" i="1"/>
  <c r="C45" i="3"/>
  <c r="C44" i="3"/>
  <c r="C43" i="3"/>
  <c r="V40" i="1" l="1"/>
  <c r="B40" i="2" s="1"/>
  <c r="B44" i="3"/>
  <c r="B45" i="3"/>
  <c r="V39" i="1"/>
  <c r="B39" i="2" s="1"/>
  <c r="V36" i="1"/>
  <c r="B36" i="2" s="1"/>
  <c r="V37" i="1"/>
  <c r="B37" i="2" s="1"/>
  <c r="V38" i="1"/>
  <c r="B38" i="2" s="1"/>
  <c r="V34" i="1"/>
  <c r="B34" i="2" s="1"/>
  <c r="V35" i="1"/>
  <c r="B35" i="2" s="1"/>
  <c r="C33" i="2"/>
  <c r="C32" i="2"/>
  <c r="C30" i="2"/>
  <c r="C26" i="2"/>
  <c r="D33" i="2"/>
  <c r="D32" i="2"/>
  <c r="D31" i="2"/>
  <c r="C31" i="2"/>
  <c r="D30" i="2"/>
  <c r="D29" i="2"/>
  <c r="C29" i="2"/>
  <c r="D28" i="2"/>
  <c r="C28" i="2"/>
  <c r="D27" i="2"/>
  <c r="C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V33" i="1" l="1"/>
  <c r="B33" i="2" s="1"/>
  <c r="V21" i="1"/>
  <c r="V9" i="1"/>
  <c r="V32" i="1"/>
  <c r="B32" i="2" s="1"/>
  <c r="V20" i="1"/>
  <c r="V8" i="1"/>
  <c r="V31" i="1"/>
  <c r="B31" i="2" s="1"/>
  <c r="V19" i="1"/>
  <c r="V7" i="1"/>
  <c r="V30" i="1"/>
  <c r="B30" i="2" s="1"/>
  <c r="V18" i="1"/>
  <c r="V6" i="1"/>
  <c r="V29" i="1"/>
  <c r="B29" i="2" s="1"/>
  <c r="V17" i="1"/>
  <c r="V28" i="1"/>
  <c r="B28" i="2" s="1"/>
  <c r="V16" i="1"/>
  <c r="V4" i="1"/>
  <c r="V27" i="1"/>
  <c r="B27" i="2" s="1"/>
  <c r="V15" i="1"/>
  <c r="V3" i="1"/>
  <c r="V2" i="1"/>
  <c r="V25" i="1"/>
  <c r="V13" i="1"/>
  <c r="V12" i="1"/>
  <c r="V23" i="1"/>
  <c r="V11" i="1"/>
  <c r="V22" i="1"/>
  <c r="V5" i="1"/>
  <c r="V24" i="1"/>
  <c r="V14" i="1"/>
  <c r="V10" i="1"/>
  <c r="V26" i="1"/>
  <c r="B26" i="2" s="1"/>
  <c r="V43" i="1" l="1"/>
  <c r="V44" i="1"/>
  <c r="V45" i="1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42" i="2"/>
  <c r="E39" i="2" l="1"/>
  <c r="F39" i="2" s="1"/>
  <c r="G39" i="2" s="1"/>
  <c r="E36" i="2"/>
  <c r="F36" i="2" s="1"/>
  <c r="G36" i="2" s="1"/>
  <c r="E40" i="2"/>
  <c r="F40" i="2" s="1"/>
  <c r="G40" i="2" s="1"/>
  <c r="E37" i="2"/>
  <c r="F37" i="2" s="1"/>
  <c r="G37" i="2" s="1"/>
  <c r="E38" i="2"/>
  <c r="F38" i="2" s="1"/>
  <c r="G38" i="2" s="1"/>
  <c r="E34" i="2"/>
  <c r="F34" i="2" s="1"/>
  <c r="G34" i="2" s="1"/>
  <c r="E35" i="2"/>
  <c r="F35" i="2" s="1"/>
  <c r="G35" i="2" s="1"/>
  <c r="E33" i="2"/>
  <c r="E27" i="2"/>
  <c r="E32" i="2"/>
  <c r="E31" i="2"/>
  <c r="E30" i="2"/>
  <c r="E29" i="2"/>
  <c r="E28" i="2"/>
  <c r="E26" i="2"/>
  <c r="C2" i="2"/>
  <c r="D44" i="2" l="1"/>
  <c r="D43" i="2"/>
  <c r="D45" i="2"/>
  <c r="C45" i="2"/>
  <c r="C44" i="2"/>
  <c r="C43" i="2"/>
  <c r="F32" i="2"/>
  <c r="G32" i="2" s="1"/>
  <c r="F27" i="2"/>
  <c r="G27" i="2" s="1"/>
  <c r="F26" i="2"/>
  <c r="G26" i="2" s="1"/>
  <c r="F28" i="2"/>
  <c r="G28" i="2" s="1"/>
  <c r="F29" i="2"/>
  <c r="G29" i="2" s="1"/>
  <c r="F31" i="2"/>
  <c r="G31" i="2" s="1"/>
  <c r="F30" i="2"/>
  <c r="G30" i="2" s="1"/>
  <c r="B24" i="2"/>
  <c r="E24" i="2" s="1"/>
  <c r="B12" i="2"/>
  <c r="E12" i="2" s="1"/>
  <c r="B23" i="2"/>
  <c r="E23" i="2" s="1"/>
  <c r="B11" i="2"/>
  <c r="E11" i="2" s="1"/>
  <c r="B22" i="2"/>
  <c r="E22" i="2" s="1"/>
  <c r="B21" i="2"/>
  <c r="E21" i="2" s="1"/>
  <c r="B9" i="2"/>
  <c r="E9" i="2" s="1"/>
  <c r="B8" i="2"/>
  <c r="E8" i="2" s="1"/>
  <c r="B17" i="2"/>
  <c r="E17" i="2" s="1"/>
  <c r="B3" i="2"/>
  <c r="E3" i="2" s="1"/>
  <c r="B14" i="2"/>
  <c r="E14" i="2" s="1"/>
  <c r="B13" i="2"/>
  <c r="E13" i="2" s="1"/>
  <c r="B7" i="2"/>
  <c r="E7" i="2" s="1"/>
  <c r="B5" i="2"/>
  <c r="E5" i="2" s="1"/>
  <c r="B15" i="2"/>
  <c r="E15" i="2" s="1"/>
  <c r="B10" i="2"/>
  <c r="E10" i="2" s="1"/>
  <c r="B20" i="2"/>
  <c r="E20" i="2" s="1"/>
  <c r="B19" i="2"/>
  <c r="E19" i="2" s="1"/>
  <c r="B25" i="2"/>
  <c r="E25" i="2" s="1"/>
  <c r="B18" i="2"/>
  <c r="E18" i="2" s="1"/>
  <c r="B6" i="2"/>
  <c r="E6" i="2" s="1"/>
  <c r="B16" i="2"/>
  <c r="E16" i="2" s="1"/>
  <c r="B4" i="2"/>
  <c r="E4" i="2" s="1"/>
  <c r="F33" i="2" l="1"/>
  <c r="G33" i="2" s="1"/>
  <c r="F25" i="2"/>
  <c r="G25" i="2" s="1"/>
  <c r="F17" i="2"/>
  <c r="G17" i="2" s="1"/>
  <c r="B2" i="2"/>
  <c r="E2" i="2" s="1"/>
  <c r="F7" i="2"/>
  <c r="G7" i="2" s="1"/>
  <c r="F13" i="2"/>
  <c r="G13" i="2" s="1"/>
  <c r="F11" i="2"/>
  <c r="G11" i="2" s="1"/>
  <c r="F10" i="2"/>
  <c r="G10" i="2" s="1"/>
  <c r="F15" i="2"/>
  <c r="G15" i="2" s="1"/>
  <c r="F6" i="2"/>
  <c r="G6" i="2" s="1"/>
  <c r="F24" i="2"/>
  <c r="G24" i="2" s="1"/>
  <c r="F14" i="2"/>
  <c r="G14" i="2" s="1"/>
  <c r="F12" i="2"/>
  <c r="G12" i="2" s="1"/>
  <c r="F22" i="2"/>
  <c r="G22" i="2" s="1"/>
  <c r="F23" i="2"/>
  <c r="G23" i="2" s="1"/>
  <c r="F20" i="2"/>
  <c r="G20" i="2" s="1"/>
  <c r="F9" i="2"/>
  <c r="G9" i="2" s="1"/>
  <c r="F5" i="2"/>
  <c r="G5" i="2" s="1"/>
  <c r="F18" i="2"/>
  <c r="G18" i="2" s="1"/>
  <c r="F3" i="2"/>
  <c r="G3" i="2" s="1"/>
  <c r="F8" i="2"/>
  <c r="G8" i="2" s="1"/>
  <c r="F16" i="2"/>
  <c r="G16" i="2" s="1"/>
  <c r="F4" i="2"/>
  <c r="G4" i="2" s="1"/>
  <c r="F21" i="2"/>
  <c r="G21" i="2" s="1"/>
  <c r="F19" i="2"/>
  <c r="G19" i="2" s="1"/>
  <c r="B43" i="2" l="1"/>
  <c r="B45" i="2"/>
  <c r="B44" i="2"/>
  <c r="E44" i="2" l="1"/>
  <c r="E45" i="2"/>
  <c r="E43" i="2"/>
  <c r="F2" i="2"/>
  <c r="F43" i="2" l="1"/>
  <c r="F44" i="2"/>
  <c r="F45" i="2"/>
  <c r="G2" i="2"/>
  <c r="G42" i="2" s="1"/>
  <c r="G44" i="2" l="1"/>
  <c r="G43" i="2"/>
  <c r="G45" i="2"/>
</calcChain>
</file>

<file path=xl/sharedStrings.xml><?xml version="1.0" encoding="utf-8"?>
<sst xmlns="http://schemas.openxmlformats.org/spreadsheetml/2006/main" count="46" uniqueCount="34">
  <si>
    <t>Quiz Total</t>
  </si>
  <si>
    <t>Τελική Εξέταση</t>
    <phoneticPr fontId="4"/>
  </si>
  <si>
    <t>Βαθμός</t>
    <phoneticPr fontId="4"/>
  </si>
  <si>
    <t>Passed</t>
    <phoneticPr fontId="4"/>
  </si>
  <si>
    <t>Τελικός Βαθμός</t>
    <phoneticPr fontId="4"/>
  </si>
  <si>
    <t>Αρ. Ταυτότητας</t>
  </si>
  <si>
    <t>Quiz Total</t>
    <phoneticPr fontId="4"/>
  </si>
  <si>
    <t>Quiz 8</t>
  </si>
  <si>
    <t>Quiz 9</t>
  </si>
  <si>
    <t>Quiz 10</t>
  </si>
  <si>
    <t>Quiz 11</t>
  </si>
  <si>
    <t>Quiz 12</t>
  </si>
  <si>
    <t>Quiz 13</t>
  </si>
  <si>
    <t>Quiz 14</t>
  </si>
  <si>
    <t>Quiz 15</t>
  </si>
  <si>
    <t>Quiz 6</t>
  </si>
  <si>
    <t>Quiz 7</t>
  </si>
  <si>
    <t>Quiz 1</t>
  </si>
  <si>
    <t xml:space="preserve">Quiz 2 </t>
  </si>
  <si>
    <t xml:space="preserve">Quiz 3 </t>
  </si>
  <si>
    <t xml:space="preserve">Quiz 4 </t>
  </si>
  <si>
    <t>Quiz 5</t>
  </si>
  <si>
    <t xml:space="preserve">Max Score </t>
  </si>
  <si>
    <t>Average</t>
  </si>
  <si>
    <t>Std. Dev.</t>
  </si>
  <si>
    <t>Median</t>
    <phoneticPr fontId="4"/>
  </si>
  <si>
    <t>Valid</t>
  </si>
  <si>
    <t>Πρόοδος</t>
  </si>
  <si>
    <t xml:space="preserve"> </t>
  </si>
  <si>
    <t>Quiz 16</t>
  </si>
  <si>
    <t>Quiz 17</t>
  </si>
  <si>
    <t>Quiz 18</t>
  </si>
  <si>
    <t>Quiz 19</t>
  </si>
  <si>
    <t>Quiz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</si>
</sst>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00"/>
  </numFmts>
  <fonts count="17" x14ac:knownFonts="1">
    <font>
      <sz val="10"/>
      <name val="Verdana"/>
      <family val="2"/>
    </font>
    <font>
      <b/>
      <sz val="10"/>
      <name val="Verdana"/>
      <family val="2"/>
    </font>
    <font>
      <sz val="12"/>
      <name val="Verdana"/>
      <family val="2"/>
    </font>
    <font>
      <sz val="11"/>
      <name val="Verdana"/>
      <family val="2"/>
    </font>
    <font>
      <sz val="8"/>
      <name val="Verdana"/>
      <family val="2"/>
    </font>
    <font>
      <sz val="12"/>
      <name val="Arial"/>
      <family val="2"/>
    </font>
    <font>
      <sz val="10"/>
      <color indexed="19"/>
      <name val="Verdana"/>
      <family val="2"/>
    </font>
    <font>
      <sz val="13"/>
      <name val="Verdana"/>
      <family val="2"/>
    </font>
    <font>
      <b/>
      <sz val="13"/>
      <name val="Verdana"/>
      <family val="2"/>
    </font>
    <font>
      <sz val="13"/>
      <name val="Arial"/>
      <family val="2"/>
    </font>
    <font>
      <sz val="13"/>
      <color rgb="FF000000"/>
      <name val="Verdana"/>
      <family val="2"/>
    </font>
    <font>
      <sz val="14"/>
      <color rgb="FF000000"/>
      <name val="Verdana"/>
      <family val="2"/>
    </font>
    <font>
      <b/>
      <sz val="14"/>
      <name val="Verdana"/>
      <family val="2"/>
    </font>
    <font>
      <sz val="14"/>
      <name val="Verdana"/>
      <family val="2"/>
    </font>
    <font>
      <b/>
      <sz val="14"/>
      <color indexed="10"/>
      <name val="Verdana"/>
      <family val="2"/>
    </font>
    <font>
      <b/>
      <sz val="14"/>
      <color indexed="17"/>
      <name val="Verdana"/>
      <family val="2"/>
    </font>
    <font>
      <sz val="14"/>
      <color indexed="8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CCFFCC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1" fontId="3" fillId="0" borderId="1" xfId="0" applyNumberFormat="1" applyFont="1" applyBorder="1" applyAlignment="1">
      <alignment horizontal="center" vertical="center"/>
    </xf>
    <xf numFmtId="0" fontId="6" fillId="0" borderId="0" xfId="0" applyFont="1"/>
    <xf numFmtId="1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1" fontId="0" fillId="0" borderId="0" xfId="0" applyNumberFormat="1"/>
    <xf numFmtId="1" fontId="2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2" fontId="3" fillId="0" borderId="2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11" fillId="0" borderId="0" xfId="0" applyFont="1"/>
    <xf numFmtId="1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12" fillId="2" borderId="2" xfId="0" applyNumberFormat="1" applyFont="1" applyFill="1" applyBorder="1" applyAlignment="1">
      <alignment horizontal="center" vertical="center"/>
    </xf>
    <xf numFmtId="1" fontId="12" fillId="2" borderId="2" xfId="0" applyNumberFormat="1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  <xf numFmtId="49" fontId="14" fillId="3" borderId="2" xfId="0" applyNumberFormat="1" applyFont="1" applyFill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 vertical="center"/>
    </xf>
    <xf numFmtId="49" fontId="15" fillId="3" borderId="2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" fontId="12" fillId="2" borderId="1" xfId="0" applyNumberFormat="1" applyFont="1" applyFill="1" applyBorder="1" applyAlignment="1">
      <alignment horizontal="center" vertical="center"/>
    </xf>
    <xf numFmtId="1" fontId="12" fillId="5" borderId="3" xfId="0" applyNumberFormat="1" applyFont="1" applyFill="1" applyBorder="1" applyAlignment="1">
      <alignment horizontal="center" vertical="center"/>
    </xf>
    <xf numFmtId="164" fontId="12" fillId="6" borderId="4" xfId="0" applyNumberFormat="1" applyFont="1" applyFill="1" applyBorder="1" applyAlignment="1">
      <alignment horizontal="center" vertical="center"/>
    </xf>
    <xf numFmtId="164" fontId="13" fillId="0" borderId="3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164" fontId="12" fillId="2" borderId="2" xfId="0" applyNumberFormat="1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3" fillId="0" borderId="3" xfId="0" applyFont="1" applyBorder="1"/>
    <xf numFmtId="1" fontId="13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64" fontId="10" fillId="0" borderId="1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6FF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1"/>
  <sheetViews>
    <sheetView tabSelected="1" topLeftCell="B1" zoomScaleNormal="100" workbookViewId="0">
      <selection activeCell="W1" sqref="W1"/>
    </sheetView>
  </sheetViews>
  <sheetFormatPr baseColWidth="10" defaultRowHeight="16" x14ac:dyDescent="0.15"/>
  <cols>
    <col min="1" max="1" width="20.83203125" customWidth="1"/>
    <col min="2" max="2" width="11.83203125" style="5" customWidth="1"/>
    <col min="3" max="21" width="11.83203125" style="6" customWidth="1"/>
    <col min="22" max="22" width="14.83203125" style="6" customWidth="1"/>
    <col min="23" max="23" width="15.1640625" style="7" customWidth="1"/>
  </cols>
  <sheetData>
    <row r="1" spans="1:23" ht="29" customHeight="1" x14ac:dyDescent="0.15">
      <c r="A1" s="35" t="s">
        <v>5</v>
      </c>
      <c r="B1" s="36" t="s">
        <v>17</v>
      </c>
      <c r="C1" s="36" t="s">
        <v>18</v>
      </c>
      <c r="D1" s="36" t="s">
        <v>19</v>
      </c>
      <c r="E1" s="36" t="s">
        <v>20</v>
      </c>
      <c r="F1" s="36" t="s">
        <v>21</v>
      </c>
      <c r="G1" s="36" t="s">
        <v>15</v>
      </c>
      <c r="H1" s="36" t="s">
        <v>16</v>
      </c>
      <c r="I1" s="36" t="s">
        <v>7</v>
      </c>
      <c r="J1" s="36" t="s">
        <v>8</v>
      </c>
      <c r="K1" s="36" t="s">
        <v>9</v>
      </c>
      <c r="L1" s="36" t="s">
        <v>10</v>
      </c>
      <c r="M1" s="36" t="s">
        <v>11</v>
      </c>
      <c r="N1" s="36" t="s">
        <v>12</v>
      </c>
      <c r="O1" s="36" t="s">
        <v>13</v>
      </c>
      <c r="P1" s="36" t="s">
        <v>14</v>
      </c>
      <c r="Q1" s="36" t="s">
        <v>29</v>
      </c>
      <c r="R1" s="36" t="s">
        <v>30</v>
      </c>
      <c r="S1" s="36" t="s">
        <v>31</v>
      </c>
      <c r="T1" s="36" t="s">
        <v>32</v>
      </c>
      <c r="U1" s="36" t="s">
        <v>33</v>
      </c>
      <c r="V1" s="37" t="s">
        <v>6</v>
      </c>
      <c r="W1"/>
    </row>
    <row r="2" spans="1:23" ht="29" customHeight="1" x14ac:dyDescent="0.15">
      <c r="A2" s="51">
        <v>230</v>
      </c>
      <c r="B2" s="49"/>
      <c r="C2" s="49">
        <v>4</v>
      </c>
      <c r="D2" s="49">
        <v>16</v>
      </c>
      <c r="E2" s="49">
        <v>4</v>
      </c>
      <c r="F2" s="18">
        <v>4</v>
      </c>
      <c r="G2" s="18">
        <v>12</v>
      </c>
      <c r="H2" s="18">
        <v>12</v>
      </c>
      <c r="I2" s="18">
        <v>4</v>
      </c>
      <c r="J2" s="18">
        <v>12</v>
      </c>
      <c r="K2" s="18">
        <v>20</v>
      </c>
      <c r="L2" s="18">
        <v>12</v>
      </c>
      <c r="M2" s="18"/>
      <c r="N2" s="18"/>
      <c r="O2" s="18"/>
      <c r="P2" s="18"/>
      <c r="Q2" s="18"/>
      <c r="R2" s="18"/>
      <c r="S2" s="18"/>
      <c r="T2" s="18"/>
      <c r="U2" s="18"/>
      <c r="V2" s="33">
        <f t="shared" ref="V2:V39" si="0">$V$42 * ( (SUM(B2:U2))/((SUM($B$46:$U$46))*$B$42) )</f>
        <v>1</v>
      </c>
      <c r="W2"/>
    </row>
    <row r="3" spans="1:23" ht="29" customHeight="1" x14ac:dyDescent="0.15">
      <c r="A3" s="51">
        <v>434</v>
      </c>
      <c r="B3" s="49"/>
      <c r="C3" s="49">
        <v>12</v>
      </c>
      <c r="D3" s="49">
        <v>12</v>
      </c>
      <c r="E3" s="49">
        <v>4</v>
      </c>
      <c r="F3" s="18">
        <v>4</v>
      </c>
      <c r="G3" s="18">
        <v>4</v>
      </c>
      <c r="H3" s="18">
        <v>8</v>
      </c>
      <c r="I3" s="18"/>
      <c r="J3" s="18"/>
      <c r="K3" s="18">
        <v>4</v>
      </c>
      <c r="L3" s="18">
        <v>4</v>
      </c>
      <c r="M3" s="18"/>
      <c r="N3" s="18"/>
      <c r="O3" s="18"/>
      <c r="P3" s="18"/>
      <c r="Q3" s="18"/>
      <c r="R3" s="18"/>
      <c r="S3" s="18"/>
      <c r="T3" s="50"/>
      <c r="U3" s="18"/>
      <c r="V3" s="33">
        <f t="shared" si="0"/>
        <v>0.52</v>
      </c>
      <c r="W3"/>
    </row>
    <row r="4" spans="1:23" ht="29" customHeight="1" x14ac:dyDescent="0.15">
      <c r="A4" s="51">
        <v>556</v>
      </c>
      <c r="B4" s="49"/>
      <c r="C4" s="49">
        <v>12</v>
      </c>
      <c r="D4" s="49">
        <v>16</v>
      </c>
      <c r="E4" s="49">
        <v>4</v>
      </c>
      <c r="F4" s="18">
        <v>4</v>
      </c>
      <c r="G4" s="18">
        <v>15</v>
      </c>
      <c r="H4" s="18">
        <v>12</v>
      </c>
      <c r="I4" s="18">
        <v>4</v>
      </c>
      <c r="J4" s="18">
        <v>12</v>
      </c>
      <c r="K4" s="18">
        <v>20</v>
      </c>
      <c r="L4" s="18">
        <v>12</v>
      </c>
      <c r="M4" s="18"/>
      <c r="N4" s="18"/>
      <c r="O4" s="18"/>
      <c r="P4" s="18"/>
      <c r="Q4" s="18"/>
      <c r="R4" s="18"/>
      <c r="S4" s="18"/>
      <c r="T4" s="18"/>
      <c r="U4" s="18"/>
      <c r="V4" s="33">
        <f t="shared" si="0"/>
        <v>1.1100000000000001</v>
      </c>
      <c r="W4"/>
    </row>
    <row r="5" spans="1:23" ht="29" customHeight="1" x14ac:dyDescent="0.15">
      <c r="A5" s="51">
        <v>731</v>
      </c>
      <c r="B5" s="49"/>
      <c r="C5" s="49">
        <v>4</v>
      </c>
      <c r="D5" s="49">
        <v>4</v>
      </c>
      <c r="E5" s="49">
        <v>4</v>
      </c>
      <c r="F5" s="18">
        <v>4</v>
      </c>
      <c r="G5" s="18"/>
      <c r="H5" s="18">
        <v>4</v>
      </c>
      <c r="I5" s="18">
        <v>4</v>
      </c>
      <c r="J5" s="18">
        <v>12</v>
      </c>
      <c r="K5" s="18">
        <v>20</v>
      </c>
      <c r="L5" s="18">
        <v>4</v>
      </c>
      <c r="M5" s="18"/>
      <c r="N5" s="18"/>
      <c r="O5" s="18"/>
      <c r="P5" s="18"/>
      <c r="Q5" s="18"/>
      <c r="R5" s="18"/>
      <c r="S5" s="18"/>
      <c r="T5" s="18"/>
      <c r="U5" s="18"/>
      <c r="V5" s="33">
        <f t="shared" si="0"/>
        <v>0.6</v>
      </c>
      <c r="W5"/>
    </row>
    <row r="6" spans="1:23" ht="29" customHeight="1" x14ac:dyDescent="0.15">
      <c r="A6" s="51">
        <v>1032</v>
      </c>
      <c r="B6" s="49"/>
      <c r="C6" s="49">
        <v>16</v>
      </c>
      <c r="D6" s="49">
        <v>12</v>
      </c>
      <c r="E6" s="49">
        <v>12</v>
      </c>
      <c r="F6" s="18">
        <v>12</v>
      </c>
      <c r="G6" s="18">
        <v>4</v>
      </c>
      <c r="H6" s="18">
        <v>4</v>
      </c>
      <c r="I6" s="18">
        <v>4</v>
      </c>
      <c r="J6" s="18">
        <v>4</v>
      </c>
      <c r="K6" s="18">
        <v>12</v>
      </c>
      <c r="L6" s="18">
        <v>12</v>
      </c>
      <c r="M6" s="18"/>
      <c r="N6" s="18"/>
      <c r="O6" s="18"/>
      <c r="P6" s="18"/>
      <c r="Q6" s="18"/>
      <c r="R6" s="18"/>
      <c r="S6" s="18"/>
      <c r="T6" s="18"/>
      <c r="U6" s="18"/>
      <c r="V6" s="33">
        <f t="shared" si="0"/>
        <v>0.92</v>
      </c>
      <c r="W6"/>
    </row>
    <row r="7" spans="1:23" ht="29" customHeight="1" x14ac:dyDescent="0.15">
      <c r="A7" s="51">
        <v>1199</v>
      </c>
      <c r="B7" s="49"/>
      <c r="C7" s="49">
        <v>18</v>
      </c>
      <c r="D7" s="49">
        <v>18</v>
      </c>
      <c r="E7" s="49">
        <v>4</v>
      </c>
      <c r="F7" s="18">
        <v>12</v>
      </c>
      <c r="G7" s="18">
        <v>20</v>
      </c>
      <c r="H7" s="18">
        <v>20</v>
      </c>
      <c r="I7" s="18">
        <v>4</v>
      </c>
      <c r="J7" s="18">
        <v>12</v>
      </c>
      <c r="K7" s="18">
        <v>4</v>
      </c>
      <c r="L7" s="18">
        <v>20</v>
      </c>
      <c r="M7" s="18"/>
      <c r="N7" s="18"/>
      <c r="O7" s="18"/>
      <c r="P7" s="18"/>
      <c r="Q7" s="18"/>
      <c r="R7" s="18"/>
      <c r="S7" s="18"/>
      <c r="T7" s="18"/>
      <c r="U7" s="18"/>
      <c r="V7" s="33">
        <f t="shared" si="0"/>
        <v>1.32</v>
      </c>
      <c r="W7"/>
    </row>
    <row r="8" spans="1:23" ht="29" customHeight="1" x14ac:dyDescent="0.15">
      <c r="A8" s="51">
        <v>1653</v>
      </c>
      <c r="B8" s="49"/>
      <c r="C8" s="49">
        <v>16</v>
      </c>
      <c r="D8" s="49">
        <v>14</v>
      </c>
      <c r="E8" s="49">
        <v>4</v>
      </c>
      <c r="F8" s="18">
        <v>4</v>
      </c>
      <c r="G8" s="18">
        <v>4</v>
      </c>
      <c r="H8" s="18">
        <v>4</v>
      </c>
      <c r="I8" s="18">
        <v>4</v>
      </c>
      <c r="J8" s="18"/>
      <c r="K8" s="18">
        <v>20</v>
      </c>
      <c r="L8" s="18">
        <v>20</v>
      </c>
      <c r="M8" s="18"/>
      <c r="N8" s="18"/>
      <c r="O8" s="18"/>
      <c r="P8" s="18"/>
      <c r="Q8" s="18"/>
      <c r="R8" s="18"/>
      <c r="S8" s="18"/>
      <c r="T8" s="18"/>
      <c r="U8" s="18"/>
      <c r="V8" s="33">
        <f t="shared" si="0"/>
        <v>0.9</v>
      </c>
      <c r="W8"/>
    </row>
    <row r="9" spans="1:23" ht="29" customHeight="1" x14ac:dyDescent="0.15">
      <c r="A9" s="51">
        <v>1786</v>
      </c>
      <c r="B9" s="49"/>
      <c r="C9" s="49"/>
      <c r="D9" s="49">
        <v>12</v>
      </c>
      <c r="E9" s="49">
        <v>20</v>
      </c>
      <c r="F9" s="18"/>
      <c r="G9" s="18">
        <v>4</v>
      </c>
      <c r="H9" s="18">
        <v>12</v>
      </c>
      <c r="I9" s="18">
        <v>4</v>
      </c>
      <c r="J9" s="18">
        <v>4</v>
      </c>
      <c r="K9" s="18">
        <v>20</v>
      </c>
      <c r="L9" s="18">
        <v>20</v>
      </c>
      <c r="M9" s="18"/>
      <c r="N9" s="18"/>
      <c r="O9" s="18"/>
      <c r="P9" s="18"/>
      <c r="Q9" s="18"/>
      <c r="R9" s="18"/>
      <c r="S9" s="18"/>
      <c r="T9" s="18"/>
      <c r="U9" s="18"/>
      <c r="V9" s="33">
        <f t="shared" si="0"/>
        <v>0.96</v>
      </c>
      <c r="W9"/>
    </row>
    <row r="10" spans="1:23" ht="29" customHeight="1" x14ac:dyDescent="0.15">
      <c r="A10" s="51">
        <v>2040</v>
      </c>
      <c r="B10" s="49"/>
      <c r="C10" s="49">
        <v>16</v>
      </c>
      <c r="D10" s="49">
        <v>12</v>
      </c>
      <c r="E10" s="49">
        <v>20</v>
      </c>
      <c r="F10" s="18">
        <v>12</v>
      </c>
      <c r="G10" s="18"/>
      <c r="H10" s="18"/>
      <c r="I10" s="18">
        <v>4</v>
      </c>
      <c r="J10" s="18">
        <v>4</v>
      </c>
      <c r="K10" s="18"/>
      <c r="L10" s="18">
        <v>4</v>
      </c>
      <c r="M10" s="18"/>
      <c r="N10" s="18"/>
      <c r="O10" s="18"/>
      <c r="P10" s="18"/>
      <c r="Q10" s="18"/>
      <c r="R10" s="18"/>
      <c r="S10" s="18"/>
      <c r="T10" s="18"/>
      <c r="U10" s="18"/>
      <c r="V10" s="33">
        <f t="shared" si="0"/>
        <v>0.72</v>
      </c>
      <c r="W10"/>
    </row>
    <row r="11" spans="1:23" ht="29" customHeight="1" x14ac:dyDescent="0.15">
      <c r="A11" s="51">
        <v>2283</v>
      </c>
      <c r="B11" s="49"/>
      <c r="C11" s="49">
        <v>4</v>
      </c>
      <c r="D11" s="49">
        <v>4</v>
      </c>
      <c r="E11" s="49">
        <v>4</v>
      </c>
      <c r="F11" s="18">
        <v>4</v>
      </c>
      <c r="G11" s="18"/>
      <c r="H11" s="18">
        <v>20</v>
      </c>
      <c r="I11" s="18">
        <v>12</v>
      </c>
      <c r="J11" s="18">
        <v>4</v>
      </c>
      <c r="K11" s="18">
        <v>20</v>
      </c>
      <c r="L11" s="18">
        <v>20</v>
      </c>
      <c r="M11" s="18"/>
      <c r="N11" s="18"/>
      <c r="O11" s="18"/>
      <c r="P11" s="18"/>
      <c r="Q11" s="18"/>
      <c r="R11" s="18"/>
      <c r="S11" s="18"/>
      <c r="T11" s="18"/>
      <c r="U11" s="18"/>
      <c r="V11" s="33">
        <f t="shared" si="0"/>
        <v>0.92</v>
      </c>
      <c r="W11"/>
    </row>
    <row r="12" spans="1:23" ht="29" customHeight="1" x14ac:dyDescent="0.15">
      <c r="A12" s="51">
        <v>2293</v>
      </c>
      <c r="B12" s="49"/>
      <c r="C12" s="49">
        <v>12</v>
      </c>
      <c r="D12" s="49">
        <v>12</v>
      </c>
      <c r="E12" s="49">
        <v>4</v>
      </c>
      <c r="F12" s="18">
        <v>12</v>
      </c>
      <c r="G12" s="18">
        <v>12</v>
      </c>
      <c r="H12" s="18">
        <v>4</v>
      </c>
      <c r="I12" s="18">
        <v>12</v>
      </c>
      <c r="J12" s="18">
        <v>4</v>
      </c>
      <c r="K12" s="18">
        <v>4</v>
      </c>
      <c r="L12" s="18">
        <v>20</v>
      </c>
      <c r="M12" s="18"/>
      <c r="N12" s="18"/>
      <c r="O12" s="18"/>
      <c r="P12" s="18"/>
      <c r="Q12" s="18"/>
      <c r="R12" s="18"/>
      <c r="S12" s="18"/>
      <c r="T12" s="18"/>
      <c r="U12" s="18"/>
      <c r="V12" s="33">
        <f t="shared" si="0"/>
        <v>0.96</v>
      </c>
      <c r="W12"/>
    </row>
    <row r="13" spans="1:23" ht="29" customHeight="1" x14ac:dyDescent="0.15">
      <c r="A13" s="51">
        <v>2376</v>
      </c>
      <c r="B13" s="49"/>
      <c r="C13" s="49">
        <v>12</v>
      </c>
      <c r="D13" s="49">
        <v>14</v>
      </c>
      <c r="E13" s="49">
        <v>4</v>
      </c>
      <c r="F13" s="18">
        <v>4</v>
      </c>
      <c r="G13" s="18">
        <v>4</v>
      </c>
      <c r="H13" s="18">
        <v>12</v>
      </c>
      <c r="I13" s="18">
        <v>12</v>
      </c>
      <c r="J13" s="18">
        <v>4</v>
      </c>
      <c r="K13" s="18">
        <v>4</v>
      </c>
      <c r="L13" s="18">
        <v>20</v>
      </c>
      <c r="M13" s="18"/>
      <c r="N13" s="18"/>
      <c r="O13" s="18"/>
      <c r="P13" s="18"/>
      <c r="Q13" s="18"/>
      <c r="R13" s="18"/>
      <c r="S13" s="18"/>
      <c r="T13" s="18"/>
      <c r="U13" s="18"/>
      <c r="V13" s="33">
        <f t="shared" si="0"/>
        <v>0.9</v>
      </c>
      <c r="W13"/>
    </row>
    <row r="14" spans="1:23" s="2" customFormat="1" ht="29" customHeight="1" x14ac:dyDescent="0.15">
      <c r="A14" s="51">
        <v>2438</v>
      </c>
      <c r="B14" s="49"/>
      <c r="C14" s="49">
        <v>16</v>
      </c>
      <c r="D14" s="49">
        <v>18</v>
      </c>
      <c r="E14" s="49">
        <v>4</v>
      </c>
      <c r="F14" s="18">
        <v>4</v>
      </c>
      <c r="G14" s="18">
        <v>12</v>
      </c>
      <c r="H14" s="18">
        <v>12</v>
      </c>
      <c r="I14" s="18">
        <v>12</v>
      </c>
      <c r="J14" s="18">
        <v>12</v>
      </c>
      <c r="K14" s="18">
        <v>4</v>
      </c>
      <c r="L14" s="18">
        <v>20</v>
      </c>
      <c r="M14" s="18"/>
      <c r="N14" s="18"/>
      <c r="O14" s="18"/>
      <c r="P14" s="18"/>
      <c r="Q14" s="18"/>
      <c r="R14" s="18"/>
      <c r="S14" s="18"/>
      <c r="T14" s="18"/>
      <c r="U14" s="18"/>
      <c r="V14" s="33">
        <f t="shared" si="0"/>
        <v>1.1399999999999999</v>
      </c>
    </row>
    <row r="15" spans="1:23" ht="29" customHeight="1" x14ac:dyDescent="0.15">
      <c r="A15" s="51">
        <v>2476</v>
      </c>
      <c r="B15" s="49"/>
      <c r="C15" s="49">
        <v>18</v>
      </c>
      <c r="D15" s="49">
        <v>20</v>
      </c>
      <c r="E15" s="49">
        <v>20</v>
      </c>
      <c r="F15" s="18">
        <v>20</v>
      </c>
      <c r="G15" s="18">
        <v>12</v>
      </c>
      <c r="H15" s="18">
        <v>20</v>
      </c>
      <c r="I15" s="18">
        <v>20</v>
      </c>
      <c r="J15" s="18">
        <v>4</v>
      </c>
      <c r="K15" s="18">
        <v>20</v>
      </c>
      <c r="L15" s="18">
        <v>20</v>
      </c>
      <c r="M15" s="18"/>
      <c r="N15" s="18"/>
      <c r="O15" s="18"/>
      <c r="P15" s="18"/>
      <c r="Q15" s="18"/>
      <c r="R15" s="18"/>
      <c r="S15" s="18"/>
      <c r="T15" s="18"/>
      <c r="U15" s="18"/>
      <c r="V15" s="33">
        <f t="shared" si="0"/>
        <v>1.74</v>
      </c>
      <c r="W15"/>
    </row>
    <row r="16" spans="1:23" ht="29" customHeight="1" x14ac:dyDescent="0.15">
      <c r="A16" s="51">
        <v>2979</v>
      </c>
      <c r="B16" s="49"/>
      <c r="C16" s="49">
        <v>4</v>
      </c>
      <c r="D16" s="49">
        <v>12</v>
      </c>
      <c r="E16" s="49">
        <v>14</v>
      </c>
      <c r="F16" s="18">
        <v>4</v>
      </c>
      <c r="G16" s="18">
        <v>4</v>
      </c>
      <c r="H16" s="18">
        <v>20</v>
      </c>
      <c r="I16" s="18">
        <v>4</v>
      </c>
      <c r="J16" s="18">
        <v>4</v>
      </c>
      <c r="K16" s="18">
        <v>20</v>
      </c>
      <c r="L16" s="18">
        <v>20</v>
      </c>
      <c r="M16" s="18"/>
      <c r="N16" s="18"/>
      <c r="O16" s="18"/>
      <c r="P16" s="18"/>
      <c r="Q16" s="18"/>
      <c r="R16" s="18"/>
      <c r="S16" s="18"/>
      <c r="T16" s="18"/>
      <c r="U16" s="18"/>
      <c r="V16" s="33">
        <f t="shared" si="0"/>
        <v>1.06</v>
      </c>
      <c r="W16"/>
    </row>
    <row r="17" spans="1:23" ht="29" customHeight="1" x14ac:dyDescent="0.15">
      <c r="A17" s="51">
        <v>3132</v>
      </c>
      <c r="B17" s="49"/>
      <c r="C17" s="49"/>
      <c r="D17" s="49"/>
      <c r="E17" s="49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33">
        <f t="shared" si="0"/>
        <v>0</v>
      </c>
      <c r="W17"/>
    </row>
    <row r="18" spans="1:23" ht="29" customHeight="1" x14ac:dyDescent="0.15">
      <c r="A18" s="51">
        <v>3183</v>
      </c>
      <c r="B18" s="49"/>
      <c r="C18" s="49">
        <v>14</v>
      </c>
      <c r="D18" s="49">
        <v>18</v>
      </c>
      <c r="E18" s="49">
        <v>4</v>
      </c>
      <c r="F18" s="18">
        <v>4</v>
      </c>
      <c r="G18" s="18">
        <v>4</v>
      </c>
      <c r="H18" s="18"/>
      <c r="I18" s="18"/>
      <c r="J18" s="18">
        <v>12</v>
      </c>
      <c r="K18" s="18">
        <v>20</v>
      </c>
      <c r="L18" s="18">
        <v>12</v>
      </c>
      <c r="M18" s="18"/>
      <c r="N18" s="18"/>
      <c r="O18" s="18"/>
      <c r="P18" s="18"/>
      <c r="Q18" s="18"/>
      <c r="R18" s="18"/>
      <c r="S18" s="18"/>
      <c r="T18" s="18"/>
      <c r="U18" s="18"/>
      <c r="V18" s="33">
        <f t="shared" si="0"/>
        <v>0.88</v>
      </c>
      <c r="W18"/>
    </row>
    <row r="19" spans="1:23" ht="29" customHeight="1" x14ac:dyDescent="0.15">
      <c r="A19" s="51">
        <v>3190</v>
      </c>
      <c r="B19" s="49"/>
      <c r="C19" s="49">
        <v>4</v>
      </c>
      <c r="D19" s="49">
        <v>14</v>
      </c>
      <c r="E19" s="49">
        <v>16</v>
      </c>
      <c r="F19" s="18">
        <v>12</v>
      </c>
      <c r="G19" s="18">
        <v>12</v>
      </c>
      <c r="H19" s="18">
        <v>4</v>
      </c>
      <c r="I19" s="18">
        <v>4</v>
      </c>
      <c r="J19" s="18">
        <v>12</v>
      </c>
      <c r="K19" s="18">
        <v>20</v>
      </c>
      <c r="L19" s="18">
        <v>4</v>
      </c>
      <c r="M19" s="18"/>
      <c r="N19" s="18"/>
      <c r="O19" s="18"/>
      <c r="P19" s="18"/>
      <c r="Q19" s="18"/>
      <c r="R19" s="18"/>
      <c r="S19" s="18"/>
      <c r="T19" s="18"/>
      <c r="U19" s="18"/>
      <c r="V19" s="33">
        <f t="shared" si="0"/>
        <v>1.02</v>
      </c>
      <c r="W19"/>
    </row>
    <row r="20" spans="1:23" ht="29" customHeight="1" x14ac:dyDescent="0.15">
      <c r="A20" s="51">
        <v>3192</v>
      </c>
      <c r="B20" s="49"/>
      <c r="C20" s="49"/>
      <c r="D20" s="49">
        <v>20</v>
      </c>
      <c r="E20" s="49">
        <v>12</v>
      </c>
      <c r="F20" s="18">
        <v>4</v>
      </c>
      <c r="G20" s="18">
        <v>4</v>
      </c>
      <c r="H20" s="18">
        <v>16</v>
      </c>
      <c r="I20" s="18">
        <v>12</v>
      </c>
      <c r="J20" s="18">
        <v>4</v>
      </c>
      <c r="K20" s="18">
        <v>20</v>
      </c>
      <c r="L20" s="18">
        <v>20</v>
      </c>
      <c r="M20" s="18"/>
      <c r="N20" s="18"/>
      <c r="O20" s="18"/>
      <c r="P20" s="18"/>
      <c r="Q20" s="18"/>
      <c r="R20" s="18"/>
      <c r="S20" s="18"/>
      <c r="T20" s="18"/>
      <c r="U20" s="18"/>
      <c r="V20" s="33">
        <f t="shared" si="0"/>
        <v>1.1200000000000001</v>
      </c>
      <c r="W20"/>
    </row>
    <row r="21" spans="1:23" ht="29" customHeight="1" x14ac:dyDescent="0.15">
      <c r="A21" s="51">
        <v>3217</v>
      </c>
      <c r="B21" s="49"/>
      <c r="C21" s="49">
        <v>16</v>
      </c>
      <c r="D21" s="49">
        <v>12</v>
      </c>
      <c r="E21" s="49">
        <v>16</v>
      </c>
      <c r="F21" s="18">
        <v>4</v>
      </c>
      <c r="G21" s="18">
        <v>20</v>
      </c>
      <c r="H21" s="18">
        <v>20</v>
      </c>
      <c r="I21" s="18">
        <v>12</v>
      </c>
      <c r="J21" s="18">
        <v>4</v>
      </c>
      <c r="K21" s="18"/>
      <c r="L21" s="18">
        <v>20</v>
      </c>
      <c r="M21" s="18"/>
      <c r="N21" s="18"/>
      <c r="O21" s="18"/>
      <c r="P21" s="18"/>
      <c r="Q21" s="18"/>
      <c r="R21" s="18"/>
      <c r="S21" s="18"/>
      <c r="T21" s="18"/>
      <c r="U21" s="18"/>
      <c r="V21" s="33">
        <f t="shared" si="0"/>
        <v>1.24</v>
      </c>
      <c r="W21"/>
    </row>
    <row r="22" spans="1:23" ht="29" customHeight="1" x14ac:dyDescent="0.15">
      <c r="A22" s="51">
        <v>3279</v>
      </c>
      <c r="B22" s="49"/>
      <c r="C22" s="49">
        <v>12</v>
      </c>
      <c r="D22" s="49">
        <v>14</v>
      </c>
      <c r="E22" s="49">
        <v>4</v>
      </c>
      <c r="F22" s="18">
        <v>12</v>
      </c>
      <c r="G22" s="18">
        <v>12</v>
      </c>
      <c r="H22" s="18"/>
      <c r="I22" s="18">
        <v>12</v>
      </c>
      <c r="J22" s="18">
        <v>4</v>
      </c>
      <c r="K22" s="18">
        <v>4</v>
      </c>
      <c r="L22" s="18">
        <v>12</v>
      </c>
      <c r="M22" s="18"/>
      <c r="N22" s="18"/>
      <c r="O22" s="18"/>
      <c r="P22" s="18"/>
      <c r="Q22" s="18"/>
      <c r="R22" s="18"/>
      <c r="S22" s="18"/>
      <c r="T22" s="18"/>
      <c r="U22" s="18"/>
      <c r="V22" s="33">
        <f t="shared" si="0"/>
        <v>0.86</v>
      </c>
      <c r="W22"/>
    </row>
    <row r="23" spans="1:23" ht="29" customHeight="1" x14ac:dyDescent="0.15">
      <c r="A23" s="51">
        <v>3360</v>
      </c>
      <c r="B23" s="49"/>
      <c r="C23" s="49">
        <v>18</v>
      </c>
      <c r="D23" s="49">
        <v>16</v>
      </c>
      <c r="E23" s="49">
        <v>20</v>
      </c>
      <c r="F23" s="18">
        <v>4</v>
      </c>
      <c r="G23" s="18">
        <v>20</v>
      </c>
      <c r="H23" s="18">
        <v>20</v>
      </c>
      <c r="I23" s="18">
        <v>16</v>
      </c>
      <c r="J23" s="18">
        <v>4</v>
      </c>
      <c r="K23" s="18">
        <v>20</v>
      </c>
      <c r="L23" s="18">
        <v>20</v>
      </c>
      <c r="M23" s="18"/>
      <c r="N23" s="18"/>
      <c r="O23" s="18"/>
      <c r="P23" s="18"/>
      <c r="Q23" s="18"/>
      <c r="R23" s="18"/>
      <c r="S23" s="18"/>
      <c r="T23" s="18"/>
      <c r="U23" s="18"/>
      <c r="V23" s="33">
        <f t="shared" si="0"/>
        <v>1.58</v>
      </c>
      <c r="W23"/>
    </row>
    <row r="24" spans="1:23" ht="29" customHeight="1" x14ac:dyDescent="0.15">
      <c r="A24" s="51">
        <v>3466</v>
      </c>
      <c r="B24" s="49"/>
      <c r="C24" s="49"/>
      <c r="D24" s="49">
        <v>12</v>
      </c>
      <c r="E24" s="49">
        <v>12</v>
      </c>
      <c r="F24" s="18">
        <v>4</v>
      </c>
      <c r="G24" s="18">
        <v>4</v>
      </c>
      <c r="H24" s="18">
        <v>16</v>
      </c>
      <c r="I24" s="18">
        <v>12</v>
      </c>
      <c r="J24" s="18">
        <v>12</v>
      </c>
      <c r="K24" s="18">
        <v>20</v>
      </c>
      <c r="L24" s="18">
        <v>20</v>
      </c>
      <c r="M24" s="18"/>
      <c r="N24" s="18"/>
      <c r="O24" s="18"/>
      <c r="P24" s="18"/>
      <c r="Q24" s="18"/>
      <c r="R24" s="18"/>
      <c r="S24" s="18"/>
      <c r="T24" s="18"/>
      <c r="U24" s="18"/>
      <c r="V24" s="33">
        <f t="shared" si="0"/>
        <v>1.1200000000000001</v>
      </c>
      <c r="W24"/>
    </row>
    <row r="25" spans="1:23" ht="29" customHeight="1" x14ac:dyDescent="0.15">
      <c r="A25" s="51">
        <v>3474</v>
      </c>
      <c r="B25" s="49"/>
      <c r="C25" s="49">
        <v>18</v>
      </c>
      <c r="D25" s="49">
        <v>20</v>
      </c>
      <c r="E25" s="49">
        <v>8</v>
      </c>
      <c r="F25" s="18"/>
      <c r="G25" s="18"/>
      <c r="H25" s="18">
        <v>20</v>
      </c>
      <c r="I25" s="18">
        <v>12</v>
      </c>
      <c r="J25" s="18">
        <v>4</v>
      </c>
      <c r="K25" s="18">
        <v>20</v>
      </c>
      <c r="L25" s="18">
        <v>20</v>
      </c>
      <c r="M25" s="18"/>
      <c r="N25" s="18"/>
      <c r="O25" s="18"/>
      <c r="P25" s="18"/>
      <c r="Q25" s="18"/>
      <c r="R25" s="18"/>
      <c r="S25" s="18"/>
      <c r="T25" s="18"/>
      <c r="U25" s="18"/>
      <c r="V25" s="33">
        <f t="shared" si="0"/>
        <v>1.22</v>
      </c>
      <c r="W25"/>
    </row>
    <row r="26" spans="1:23" ht="29" customHeight="1" x14ac:dyDescent="0.15">
      <c r="A26" s="51">
        <v>3481</v>
      </c>
      <c r="B26" s="49"/>
      <c r="C26" s="49">
        <v>12</v>
      </c>
      <c r="D26" s="49">
        <v>4</v>
      </c>
      <c r="E26" s="49">
        <v>4</v>
      </c>
      <c r="F26" s="18">
        <v>4</v>
      </c>
      <c r="G26" s="18">
        <v>4</v>
      </c>
      <c r="H26" s="18">
        <v>8</v>
      </c>
      <c r="I26" s="18">
        <v>4</v>
      </c>
      <c r="J26" s="18">
        <v>4</v>
      </c>
      <c r="K26" s="18">
        <v>4</v>
      </c>
      <c r="L26" s="18">
        <v>4</v>
      </c>
      <c r="M26" s="18"/>
      <c r="N26" s="18"/>
      <c r="O26" s="18"/>
      <c r="P26" s="18"/>
      <c r="Q26" s="18"/>
      <c r="R26" s="18"/>
      <c r="S26" s="18"/>
      <c r="T26" s="18"/>
      <c r="U26" s="18"/>
      <c r="V26" s="33">
        <f t="shared" si="0"/>
        <v>0.52</v>
      </c>
      <c r="W26"/>
    </row>
    <row r="27" spans="1:23" ht="29" customHeight="1" x14ac:dyDescent="0.15">
      <c r="A27" s="51">
        <v>4218</v>
      </c>
      <c r="B27" s="49"/>
      <c r="C27" s="49">
        <v>12</v>
      </c>
      <c r="D27" s="49"/>
      <c r="E27" s="49">
        <v>4</v>
      </c>
      <c r="F27" s="18">
        <v>12</v>
      </c>
      <c r="G27" s="18">
        <v>4</v>
      </c>
      <c r="H27" s="18"/>
      <c r="I27" s="18">
        <v>12</v>
      </c>
      <c r="J27" s="18">
        <v>4</v>
      </c>
      <c r="K27" s="18">
        <v>20</v>
      </c>
      <c r="L27" s="18">
        <v>12</v>
      </c>
      <c r="M27" s="18"/>
      <c r="N27" s="18"/>
      <c r="O27" s="18"/>
      <c r="P27" s="18"/>
      <c r="Q27" s="18"/>
      <c r="R27" s="18"/>
      <c r="S27" s="18"/>
      <c r="T27" s="18"/>
      <c r="U27" s="18"/>
      <c r="V27" s="33">
        <f t="shared" si="0"/>
        <v>0.8</v>
      </c>
      <c r="W27"/>
    </row>
    <row r="28" spans="1:23" ht="29" customHeight="1" x14ac:dyDescent="0.15">
      <c r="A28" s="51">
        <v>4365</v>
      </c>
      <c r="B28" s="49"/>
      <c r="C28" s="49">
        <v>12</v>
      </c>
      <c r="D28" s="49">
        <v>12</v>
      </c>
      <c r="E28" s="49">
        <v>4</v>
      </c>
      <c r="F28" s="18">
        <v>12</v>
      </c>
      <c r="G28" s="18">
        <v>4</v>
      </c>
      <c r="H28" s="18"/>
      <c r="I28" s="18">
        <v>12</v>
      </c>
      <c r="J28" s="18">
        <v>4</v>
      </c>
      <c r="K28" s="18">
        <v>20</v>
      </c>
      <c r="L28" s="18">
        <v>12</v>
      </c>
      <c r="M28" s="18"/>
      <c r="N28" s="18"/>
      <c r="O28" s="18"/>
      <c r="P28" s="18"/>
      <c r="Q28" s="18"/>
      <c r="R28" s="18"/>
      <c r="S28" s="18"/>
      <c r="T28" s="18"/>
      <c r="U28" s="18"/>
      <c r="V28" s="33">
        <f t="shared" si="0"/>
        <v>0.92</v>
      </c>
      <c r="W28"/>
    </row>
    <row r="29" spans="1:23" ht="29" customHeight="1" x14ac:dyDescent="0.15">
      <c r="A29" s="51">
        <v>4367</v>
      </c>
      <c r="B29" s="49"/>
      <c r="C29" s="49">
        <v>16</v>
      </c>
      <c r="D29" s="49">
        <v>14</v>
      </c>
      <c r="E29" s="49">
        <v>4</v>
      </c>
      <c r="F29" s="18">
        <v>4</v>
      </c>
      <c r="G29" s="18">
        <v>4</v>
      </c>
      <c r="H29" s="18">
        <v>12</v>
      </c>
      <c r="I29" s="18">
        <v>4</v>
      </c>
      <c r="J29" s="18">
        <v>12</v>
      </c>
      <c r="K29" s="18">
        <v>20</v>
      </c>
      <c r="L29" s="18">
        <v>4</v>
      </c>
      <c r="M29" s="18"/>
      <c r="N29" s="18"/>
      <c r="O29" s="18"/>
      <c r="P29" s="18"/>
      <c r="Q29" s="18"/>
      <c r="R29" s="18"/>
      <c r="S29" s="18"/>
      <c r="T29" s="18"/>
      <c r="U29" s="18"/>
      <c r="V29" s="33">
        <f t="shared" si="0"/>
        <v>0.94</v>
      </c>
      <c r="W29"/>
    </row>
    <row r="30" spans="1:23" ht="29" customHeight="1" x14ac:dyDescent="0.15">
      <c r="A30" s="51">
        <v>4434</v>
      </c>
      <c r="B30" s="49"/>
      <c r="C30" s="49">
        <v>12</v>
      </c>
      <c r="D30" s="49">
        <v>12</v>
      </c>
      <c r="E30" s="49">
        <v>4</v>
      </c>
      <c r="F30" s="18">
        <v>4</v>
      </c>
      <c r="G30" s="18">
        <v>12</v>
      </c>
      <c r="H30" s="18">
        <v>12</v>
      </c>
      <c r="I30" s="18">
        <v>12</v>
      </c>
      <c r="J30" s="18">
        <v>4</v>
      </c>
      <c r="K30" s="18">
        <v>12</v>
      </c>
      <c r="L30" s="18">
        <v>20</v>
      </c>
      <c r="M30" s="18"/>
      <c r="N30" s="18"/>
      <c r="O30" s="18"/>
      <c r="P30" s="18"/>
      <c r="Q30" s="18"/>
      <c r="R30" s="18"/>
      <c r="S30" s="18"/>
      <c r="T30" s="18"/>
      <c r="U30" s="18"/>
      <c r="V30" s="33">
        <f t="shared" si="0"/>
        <v>1.04</v>
      </c>
      <c r="W30"/>
    </row>
    <row r="31" spans="1:23" ht="29" customHeight="1" x14ac:dyDescent="0.15">
      <c r="A31" s="51">
        <v>4449</v>
      </c>
      <c r="B31" s="49"/>
      <c r="C31" s="49">
        <v>4</v>
      </c>
      <c r="D31" s="49">
        <v>14</v>
      </c>
      <c r="E31" s="49">
        <v>4</v>
      </c>
      <c r="F31" s="18">
        <v>4</v>
      </c>
      <c r="G31" s="18"/>
      <c r="H31" s="18">
        <v>4</v>
      </c>
      <c r="I31" s="18">
        <v>4</v>
      </c>
      <c r="J31" s="18"/>
      <c r="K31" s="18">
        <v>20</v>
      </c>
      <c r="L31" s="18">
        <v>4</v>
      </c>
      <c r="M31" s="18"/>
      <c r="N31" s="18"/>
      <c r="O31" s="18"/>
      <c r="P31" s="18"/>
      <c r="Q31" s="18"/>
      <c r="R31" s="18"/>
      <c r="S31" s="18"/>
      <c r="T31" s="18"/>
      <c r="U31" s="18"/>
      <c r="V31" s="33">
        <f t="shared" si="0"/>
        <v>0.57999999999999996</v>
      </c>
      <c r="W31"/>
    </row>
    <row r="32" spans="1:23" ht="29" customHeight="1" x14ac:dyDescent="0.15">
      <c r="A32" s="51">
        <v>5282</v>
      </c>
      <c r="B32" s="49"/>
      <c r="C32" s="49">
        <v>12</v>
      </c>
      <c r="D32" s="49">
        <v>12</v>
      </c>
      <c r="E32" s="49">
        <v>12</v>
      </c>
      <c r="F32" s="18">
        <v>4</v>
      </c>
      <c r="G32" s="18">
        <v>12</v>
      </c>
      <c r="H32" s="18">
        <v>4</v>
      </c>
      <c r="I32" s="18">
        <v>15</v>
      </c>
      <c r="J32" s="18">
        <v>4</v>
      </c>
      <c r="K32" s="18">
        <v>4</v>
      </c>
      <c r="L32" s="18">
        <v>20</v>
      </c>
      <c r="M32" s="18"/>
      <c r="N32" s="18"/>
      <c r="O32" s="18"/>
      <c r="P32" s="18"/>
      <c r="Q32" s="18"/>
      <c r="R32" s="18"/>
      <c r="S32" s="18"/>
      <c r="T32" s="18"/>
      <c r="U32" s="18"/>
      <c r="V32" s="33">
        <f t="shared" si="0"/>
        <v>0.99</v>
      </c>
      <c r="W32"/>
    </row>
    <row r="33" spans="1:23" ht="29" customHeight="1" x14ac:dyDescent="0.15">
      <c r="A33" s="51">
        <v>6679</v>
      </c>
      <c r="B33" s="49"/>
      <c r="C33" s="49"/>
      <c r="D33" s="49"/>
      <c r="E33" s="49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33">
        <f t="shared" si="0"/>
        <v>0</v>
      </c>
      <c r="W33"/>
    </row>
    <row r="34" spans="1:23" ht="29" customHeight="1" x14ac:dyDescent="0.15">
      <c r="A34" s="51">
        <v>7596</v>
      </c>
      <c r="B34" s="49"/>
      <c r="C34" s="49"/>
      <c r="D34" s="49"/>
      <c r="E34" s="49"/>
      <c r="F34" s="18">
        <v>4</v>
      </c>
      <c r="G34" s="18">
        <v>12</v>
      </c>
      <c r="H34" s="18">
        <v>4</v>
      </c>
      <c r="I34" s="18">
        <v>4</v>
      </c>
      <c r="J34" s="18">
        <v>12</v>
      </c>
      <c r="K34" s="18">
        <v>4</v>
      </c>
      <c r="L34" s="18">
        <v>4</v>
      </c>
      <c r="M34" s="18"/>
      <c r="N34" s="18"/>
      <c r="O34" s="18"/>
      <c r="P34" s="18"/>
      <c r="Q34" s="18"/>
      <c r="R34" s="18"/>
      <c r="S34" s="18"/>
      <c r="T34" s="18"/>
      <c r="U34" s="18"/>
      <c r="V34" s="33">
        <f t="shared" si="0"/>
        <v>0.44</v>
      </c>
      <c r="W34"/>
    </row>
    <row r="35" spans="1:23" ht="29" customHeight="1" x14ac:dyDescent="0.15">
      <c r="A35" s="51">
        <v>7618</v>
      </c>
      <c r="B35" s="49"/>
      <c r="C35" s="49">
        <v>4</v>
      </c>
      <c r="D35" s="49">
        <v>14</v>
      </c>
      <c r="E35" s="49">
        <v>1</v>
      </c>
      <c r="F35" s="18">
        <v>4</v>
      </c>
      <c r="G35" s="18">
        <v>12</v>
      </c>
      <c r="H35" s="18">
        <v>16</v>
      </c>
      <c r="I35" s="18">
        <v>12</v>
      </c>
      <c r="J35" s="18">
        <v>12</v>
      </c>
      <c r="K35" s="18">
        <v>4</v>
      </c>
      <c r="L35" s="18">
        <v>20</v>
      </c>
      <c r="M35" s="18"/>
      <c r="N35" s="18"/>
      <c r="O35" s="18"/>
      <c r="P35" s="18"/>
      <c r="Q35" s="18"/>
      <c r="R35" s="18"/>
      <c r="S35" s="18"/>
      <c r="T35" s="18"/>
      <c r="U35" s="18"/>
      <c r="V35" s="33">
        <f t="shared" si="0"/>
        <v>0.99</v>
      </c>
      <c r="W35"/>
    </row>
    <row r="36" spans="1:23" ht="29" customHeight="1" x14ac:dyDescent="0.15">
      <c r="A36" s="51">
        <v>7630</v>
      </c>
      <c r="B36" s="49"/>
      <c r="C36" s="49">
        <v>12</v>
      </c>
      <c r="D36" s="49"/>
      <c r="E36" s="49"/>
      <c r="F36" s="18"/>
      <c r="G36" s="18">
        <v>12</v>
      </c>
      <c r="H36" s="18">
        <v>12</v>
      </c>
      <c r="I36" s="18">
        <v>4</v>
      </c>
      <c r="J36" s="18">
        <v>12</v>
      </c>
      <c r="K36" s="18"/>
      <c r="L36" s="18">
        <v>4</v>
      </c>
      <c r="M36" s="18"/>
      <c r="N36" s="18"/>
      <c r="O36" s="18"/>
      <c r="P36" s="18"/>
      <c r="Q36" s="18"/>
      <c r="R36" s="18"/>
      <c r="S36" s="18"/>
      <c r="T36" s="18"/>
      <c r="U36" s="18"/>
      <c r="V36" s="33">
        <f t="shared" si="0"/>
        <v>0.56000000000000005</v>
      </c>
      <c r="W36"/>
    </row>
    <row r="37" spans="1:23" ht="29" customHeight="1" x14ac:dyDescent="0.15">
      <c r="A37" s="51">
        <v>7651</v>
      </c>
      <c r="B37" s="49"/>
      <c r="C37" s="49">
        <v>4</v>
      </c>
      <c r="D37" s="49">
        <v>14</v>
      </c>
      <c r="E37" s="49">
        <v>20</v>
      </c>
      <c r="F37" s="18">
        <v>4</v>
      </c>
      <c r="G37" s="18">
        <v>12</v>
      </c>
      <c r="H37" s="18">
        <v>16</v>
      </c>
      <c r="I37" s="18">
        <v>12</v>
      </c>
      <c r="J37" s="18">
        <v>12</v>
      </c>
      <c r="K37" s="18">
        <v>4</v>
      </c>
      <c r="L37" s="18">
        <v>20</v>
      </c>
      <c r="M37" s="18"/>
      <c r="N37" s="18"/>
      <c r="O37" s="18"/>
      <c r="P37" s="18"/>
      <c r="Q37" s="18"/>
      <c r="R37" s="18"/>
      <c r="S37" s="18"/>
      <c r="T37" s="18"/>
      <c r="U37" s="18"/>
      <c r="V37" s="33">
        <f t="shared" si="0"/>
        <v>1.18</v>
      </c>
      <c r="W37"/>
    </row>
    <row r="38" spans="1:23" ht="29" customHeight="1" x14ac:dyDescent="0.15">
      <c r="A38" s="51">
        <v>7776</v>
      </c>
      <c r="B38" s="49"/>
      <c r="C38" s="49">
        <v>12</v>
      </c>
      <c r="D38" s="49">
        <v>12</v>
      </c>
      <c r="E38" s="49"/>
      <c r="F38" s="18">
        <v>4</v>
      </c>
      <c r="G38" s="18">
        <v>12</v>
      </c>
      <c r="H38" s="18"/>
      <c r="I38" s="18"/>
      <c r="J38" s="18">
        <v>12</v>
      </c>
      <c r="K38" s="18">
        <v>4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33">
        <f t="shared" si="0"/>
        <v>0.56000000000000005</v>
      </c>
      <c r="W38"/>
    </row>
    <row r="39" spans="1:23" ht="29" customHeight="1" x14ac:dyDescent="0.15">
      <c r="A39" s="51">
        <v>9852</v>
      </c>
      <c r="B39" s="49"/>
      <c r="C39" s="49">
        <v>20</v>
      </c>
      <c r="D39" s="49">
        <v>16</v>
      </c>
      <c r="E39" s="49">
        <v>20</v>
      </c>
      <c r="F39" s="18">
        <v>4</v>
      </c>
      <c r="G39" s="18">
        <v>4</v>
      </c>
      <c r="H39" s="18">
        <v>12</v>
      </c>
      <c r="I39" s="18">
        <v>4</v>
      </c>
      <c r="J39" s="18">
        <v>4</v>
      </c>
      <c r="K39" s="18"/>
      <c r="L39" s="18">
        <v>20</v>
      </c>
      <c r="M39" s="18"/>
      <c r="N39" s="18"/>
      <c r="O39" s="18"/>
      <c r="P39" s="18"/>
      <c r="Q39" s="18"/>
      <c r="R39" s="18"/>
      <c r="S39" s="18"/>
      <c r="T39" s="18"/>
      <c r="U39" s="18"/>
      <c r="V39" s="33">
        <f t="shared" si="0"/>
        <v>1.04</v>
      </c>
      <c r="W39"/>
    </row>
    <row r="40" spans="1:23" ht="29" customHeight="1" x14ac:dyDescent="0.15">
      <c r="A40" s="51">
        <v>9951</v>
      </c>
      <c r="B40" s="49"/>
      <c r="C40" s="49">
        <v>16</v>
      </c>
      <c r="D40" s="49">
        <v>20</v>
      </c>
      <c r="E40" s="49">
        <v>20</v>
      </c>
      <c r="F40" s="18">
        <v>12</v>
      </c>
      <c r="G40" s="18"/>
      <c r="H40" s="18">
        <v>4</v>
      </c>
      <c r="I40" s="18">
        <v>4</v>
      </c>
      <c r="J40" s="18">
        <v>4</v>
      </c>
      <c r="K40" s="18"/>
      <c r="L40" s="18">
        <v>4</v>
      </c>
      <c r="M40" s="18"/>
      <c r="N40" s="18"/>
      <c r="O40" s="18"/>
      <c r="P40" s="18"/>
      <c r="Q40" s="18"/>
      <c r="R40" s="18"/>
      <c r="S40" s="18"/>
      <c r="T40" s="18"/>
      <c r="U40" s="18"/>
      <c r="V40" s="33">
        <f t="shared" ref="V40" si="1">$V$42 * ( (SUM(B40:U40))/((SUM($B$46:$U$46))*$B$42) )</f>
        <v>0.84</v>
      </c>
      <c r="W40"/>
    </row>
    <row r="41" spans="1:23" ht="29" customHeight="1" x14ac:dyDescent="0.15">
      <c r="A41" s="12"/>
      <c r="B41" s="10"/>
      <c r="C41" s="1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/>
    </row>
    <row r="42" spans="1:23" ht="29" customHeight="1" x14ac:dyDescent="0.15">
      <c r="A42" s="25" t="s">
        <v>22</v>
      </c>
      <c r="B42" s="26">
        <v>20</v>
      </c>
      <c r="C42" s="26">
        <v>20</v>
      </c>
      <c r="D42" s="26">
        <v>20</v>
      </c>
      <c r="E42" s="26">
        <v>20</v>
      </c>
      <c r="F42" s="26">
        <v>20</v>
      </c>
      <c r="G42" s="26">
        <v>20</v>
      </c>
      <c r="H42" s="26">
        <v>20</v>
      </c>
      <c r="I42" s="26">
        <v>20</v>
      </c>
      <c r="J42" s="26">
        <v>20</v>
      </c>
      <c r="K42" s="26">
        <v>20</v>
      </c>
      <c r="L42" s="26">
        <v>20</v>
      </c>
      <c r="M42" s="26">
        <v>20</v>
      </c>
      <c r="N42" s="26">
        <v>20</v>
      </c>
      <c r="O42" s="26">
        <v>20</v>
      </c>
      <c r="P42" s="26">
        <v>20</v>
      </c>
      <c r="Q42" s="26">
        <v>20</v>
      </c>
      <c r="R42" s="26">
        <v>20</v>
      </c>
      <c r="S42" s="26">
        <v>20</v>
      </c>
      <c r="T42" s="26">
        <v>20</v>
      </c>
      <c r="U42" s="26">
        <v>20</v>
      </c>
      <c r="V42" s="27">
        <v>2</v>
      </c>
      <c r="W42"/>
    </row>
    <row r="43" spans="1:23" ht="29" customHeight="1" x14ac:dyDescent="0.15">
      <c r="A43" s="28" t="s">
        <v>23</v>
      </c>
      <c r="B43" s="29" t="e">
        <f>AVERAGE(B$2:B$39)</f>
        <v>#DIV/0!</v>
      </c>
      <c r="C43" s="29">
        <f t="shared" ref="C43:V43" si="2">AVERAGE(C$2:C$39)</f>
        <v>11.8125</v>
      </c>
      <c r="D43" s="29">
        <f t="shared" si="2"/>
        <v>13.515151515151516</v>
      </c>
      <c r="E43" s="29">
        <f t="shared" si="2"/>
        <v>8.9393939393939394</v>
      </c>
      <c r="F43" s="29">
        <f t="shared" si="2"/>
        <v>6.4242424242424239</v>
      </c>
      <c r="G43" s="29">
        <f t="shared" si="2"/>
        <v>9.258064516129032</v>
      </c>
      <c r="H43" s="29">
        <f t="shared" si="2"/>
        <v>12</v>
      </c>
      <c r="I43" s="29">
        <f t="shared" si="2"/>
        <v>8.5757575757575761</v>
      </c>
      <c r="J43" s="29">
        <f t="shared" si="2"/>
        <v>7.3939393939393936</v>
      </c>
      <c r="K43" s="29">
        <f t="shared" si="2"/>
        <v>13.5</v>
      </c>
      <c r="L43" s="29">
        <f t="shared" si="2"/>
        <v>14.285714285714286</v>
      </c>
      <c r="M43" s="29" t="e">
        <f t="shared" si="2"/>
        <v>#DIV/0!</v>
      </c>
      <c r="N43" s="29" t="e">
        <f t="shared" si="2"/>
        <v>#DIV/0!</v>
      </c>
      <c r="O43" s="29" t="e">
        <f t="shared" si="2"/>
        <v>#DIV/0!</v>
      </c>
      <c r="P43" s="29" t="e">
        <f t="shared" si="2"/>
        <v>#DIV/0!</v>
      </c>
      <c r="Q43" s="29" t="e">
        <f t="shared" si="2"/>
        <v>#DIV/0!</v>
      </c>
      <c r="R43" s="29" t="e">
        <f t="shared" si="2"/>
        <v>#DIV/0!</v>
      </c>
      <c r="S43" s="29" t="e">
        <f t="shared" si="2"/>
        <v>#DIV/0!</v>
      </c>
      <c r="T43" s="29" t="e">
        <f t="shared" si="2"/>
        <v>#DIV/0!</v>
      </c>
      <c r="U43" s="29" t="e">
        <f t="shared" si="2"/>
        <v>#DIV/0!</v>
      </c>
      <c r="V43" s="29">
        <f t="shared" si="2"/>
        <v>0.90447368421052621</v>
      </c>
      <c r="W43"/>
    </row>
    <row r="44" spans="1:23" ht="29" customHeight="1" x14ac:dyDescent="0.15">
      <c r="A44" s="30" t="s">
        <v>24</v>
      </c>
      <c r="B44" s="29" t="e">
        <f>STDEV(B$2:B$39)</f>
        <v>#DIV/0!</v>
      </c>
      <c r="C44" s="29">
        <f t="shared" ref="C44:V44" si="3">STDEV(C$2:C$39)</f>
        <v>5.1395838917800694</v>
      </c>
      <c r="D44" s="29">
        <f t="shared" si="3"/>
        <v>4.0009468576295477</v>
      </c>
      <c r="E44" s="29">
        <f t="shared" si="3"/>
        <v>6.6140919347414675</v>
      </c>
      <c r="F44" s="29">
        <f t="shared" si="3"/>
        <v>4.235492172037854</v>
      </c>
      <c r="G44" s="29">
        <f t="shared" si="3"/>
        <v>5.3663627777448664</v>
      </c>
      <c r="H44" s="29">
        <f t="shared" si="3"/>
        <v>6.0343842356489263</v>
      </c>
      <c r="I44" s="29">
        <f t="shared" si="3"/>
        <v>4.7633385287415733</v>
      </c>
      <c r="J44" s="29">
        <f t="shared" si="3"/>
        <v>4.0151229272853062</v>
      </c>
      <c r="K44" s="29">
        <f t="shared" si="3"/>
        <v>7.7209392709570279</v>
      </c>
      <c r="L44" s="29">
        <f t="shared" si="3"/>
        <v>6.8795153239481177</v>
      </c>
      <c r="M44" s="29" t="e">
        <f t="shared" si="3"/>
        <v>#DIV/0!</v>
      </c>
      <c r="N44" s="29" t="e">
        <f t="shared" si="3"/>
        <v>#DIV/0!</v>
      </c>
      <c r="O44" s="29" t="e">
        <f t="shared" si="3"/>
        <v>#DIV/0!</v>
      </c>
      <c r="P44" s="29" t="e">
        <f t="shared" si="3"/>
        <v>#DIV/0!</v>
      </c>
      <c r="Q44" s="29" t="e">
        <f t="shared" si="3"/>
        <v>#DIV/0!</v>
      </c>
      <c r="R44" s="29" t="e">
        <f t="shared" si="3"/>
        <v>#DIV/0!</v>
      </c>
      <c r="S44" s="29" t="e">
        <f t="shared" si="3"/>
        <v>#DIV/0!</v>
      </c>
      <c r="T44" s="29" t="e">
        <f t="shared" si="3"/>
        <v>#DIV/0!</v>
      </c>
      <c r="U44" s="29" t="e">
        <f t="shared" si="3"/>
        <v>#DIV/0!</v>
      </c>
      <c r="V44" s="29">
        <f t="shared" si="3"/>
        <v>0.35037969650251599</v>
      </c>
      <c r="W44"/>
    </row>
    <row r="45" spans="1:23" ht="29" customHeight="1" x14ac:dyDescent="0.15">
      <c r="A45" s="30" t="s">
        <v>25</v>
      </c>
      <c r="B45" s="29" t="e">
        <f>MEDIAN(B$2:B$39)</f>
        <v>#NUM!</v>
      </c>
      <c r="C45" s="29">
        <f t="shared" ref="C45:V45" si="4">MEDIAN(C$2:C$39)</f>
        <v>12</v>
      </c>
      <c r="D45" s="29">
        <f t="shared" si="4"/>
        <v>14</v>
      </c>
      <c r="E45" s="29">
        <f t="shared" si="4"/>
        <v>4</v>
      </c>
      <c r="F45" s="29">
        <f t="shared" si="4"/>
        <v>4</v>
      </c>
      <c r="G45" s="29">
        <f t="shared" si="4"/>
        <v>12</v>
      </c>
      <c r="H45" s="29">
        <f t="shared" si="4"/>
        <v>12</v>
      </c>
      <c r="I45" s="29">
        <f t="shared" si="4"/>
        <v>12</v>
      </c>
      <c r="J45" s="29">
        <f t="shared" si="4"/>
        <v>4</v>
      </c>
      <c r="K45" s="29">
        <f t="shared" si="4"/>
        <v>20</v>
      </c>
      <c r="L45" s="29">
        <f t="shared" si="4"/>
        <v>20</v>
      </c>
      <c r="M45" s="29" t="e">
        <f t="shared" si="4"/>
        <v>#NUM!</v>
      </c>
      <c r="N45" s="29" t="e">
        <f t="shared" si="4"/>
        <v>#NUM!</v>
      </c>
      <c r="O45" s="29" t="e">
        <f t="shared" si="4"/>
        <v>#NUM!</v>
      </c>
      <c r="P45" s="29" t="e">
        <f t="shared" si="4"/>
        <v>#NUM!</v>
      </c>
      <c r="Q45" s="29" t="e">
        <f t="shared" si="4"/>
        <v>#NUM!</v>
      </c>
      <c r="R45" s="29" t="e">
        <f t="shared" si="4"/>
        <v>#NUM!</v>
      </c>
      <c r="S45" s="29" t="e">
        <f t="shared" si="4"/>
        <v>#NUM!</v>
      </c>
      <c r="T45" s="29" t="e">
        <f t="shared" si="4"/>
        <v>#NUM!</v>
      </c>
      <c r="U45" s="29" t="e">
        <f t="shared" si="4"/>
        <v>#NUM!</v>
      </c>
      <c r="V45" s="29">
        <f t="shared" si="4"/>
        <v>0.95</v>
      </c>
      <c r="W45"/>
    </row>
    <row r="46" spans="1:23" ht="29" customHeight="1" x14ac:dyDescent="0.15">
      <c r="A46" s="31" t="s">
        <v>26</v>
      </c>
      <c r="B46" s="32">
        <f>IF(SUM(B2:B39)&gt;0,1,0)</f>
        <v>0</v>
      </c>
      <c r="C46" s="32">
        <f t="shared" ref="C46:U46" si="5">IF(SUM(C2:C39)&gt;0,1,0)</f>
        <v>1</v>
      </c>
      <c r="D46" s="32">
        <f t="shared" si="5"/>
        <v>1</v>
      </c>
      <c r="E46" s="32">
        <f t="shared" si="5"/>
        <v>1</v>
      </c>
      <c r="F46" s="32">
        <f t="shared" si="5"/>
        <v>1</v>
      </c>
      <c r="G46" s="32">
        <f t="shared" si="5"/>
        <v>1</v>
      </c>
      <c r="H46" s="32">
        <f t="shared" si="5"/>
        <v>1</v>
      </c>
      <c r="I46" s="32">
        <f t="shared" si="5"/>
        <v>1</v>
      </c>
      <c r="J46" s="32">
        <f t="shared" si="5"/>
        <v>1</v>
      </c>
      <c r="K46" s="32">
        <f t="shared" si="5"/>
        <v>1</v>
      </c>
      <c r="L46" s="32">
        <f t="shared" si="5"/>
        <v>1</v>
      </c>
      <c r="M46" s="32">
        <f t="shared" si="5"/>
        <v>0</v>
      </c>
      <c r="N46" s="32">
        <f t="shared" si="5"/>
        <v>0</v>
      </c>
      <c r="O46" s="32">
        <f t="shared" si="5"/>
        <v>0</v>
      </c>
      <c r="P46" s="32">
        <f t="shared" si="5"/>
        <v>0</v>
      </c>
      <c r="Q46" s="32">
        <f t="shared" si="5"/>
        <v>0</v>
      </c>
      <c r="R46" s="32">
        <f t="shared" si="5"/>
        <v>0</v>
      </c>
      <c r="S46" s="32">
        <f t="shared" si="5"/>
        <v>0</v>
      </c>
      <c r="T46" s="32">
        <f t="shared" si="5"/>
        <v>0</v>
      </c>
      <c r="U46" s="32">
        <f t="shared" si="5"/>
        <v>0</v>
      </c>
      <c r="V46" s="32"/>
      <c r="W46"/>
    </row>
    <row r="47" spans="1:23" ht="29" customHeight="1" x14ac:dyDescent="0.15">
      <c r="B47"/>
    </row>
    <row r="48" spans="1:23" ht="29" customHeight="1" x14ac:dyDescent="0.15"/>
    <row r="49" spans="2:2" ht="29" customHeight="1" x14ac:dyDescent="0.15"/>
    <row r="50" spans="2:2" ht="29" customHeight="1" x14ac:dyDescent="0.15">
      <c r="B50"/>
    </row>
    <row r="51" spans="2:2" ht="29" customHeight="1" x14ac:dyDescent="0.15">
      <c r="B51"/>
    </row>
    <row r="52" spans="2:2" ht="29" customHeight="1" x14ac:dyDescent="0.15">
      <c r="B52"/>
    </row>
    <row r="53" spans="2:2" ht="29" customHeight="1" x14ac:dyDescent="0.15">
      <c r="B53"/>
    </row>
    <row r="54" spans="2:2" ht="29" customHeight="1" x14ac:dyDescent="0.15">
      <c r="B54"/>
    </row>
    <row r="55" spans="2:2" ht="29" customHeight="1" x14ac:dyDescent="0.15">
      <c r="B55"/>
    </row>
    <row r="56" spans="2:2" ht="29" customHeight="1" x14ac:dyDescent="0.15">
      <c r="B56"/>
    </row>
    <row r="57" spans="2:2" ht="29" customHeight="1" x14ac:dyDescent="0.15">
      <c r="B57"/>
    </row>
    <row r="58" spans="2:2" ht="29" customHeight="1" x14ac:dyDescent="0.15">
      <c r="B58"/>
    </row>
    <row r="59" spans="2:2" ht="29" customHeight="1" x14ac:dyDescent="0.15">
      <c r="B59"/>
    </row>
    <row r="60" spans="2:2" ht="29" customHeight="1" x14ac:dyDescent="0.15">
      <c r="B60"/>
    </row>
    <row r="61" spans="2:2" ht="29" customHeight="1" x14ac:dyDescent="0.15">
      <c r="B61"/>
    </row>
    <row r="62" spans="2:2" ht="29" customHeight="1" x14ac:dyDescent="0.15">
      <c r="B62"/>
    </row>
    <row r="63" spans="2:2" ht="29" customHeight="1" x14ac:dyDescent="0.15">
      <c r="B63"/>
    </row>
    <row r="64" spans="2:2" ht="29" customHeight="1" x14ac:dyDescent="0.15">
      <c r="B64"/>
    </row>
    <row r="65" spans="2:2" ht="40" customHeight="1" x14ac:dyDescent="0.15">
      <c r="B65"/>
    </row>
    <row r="66" spans="2:2" ht="14" x14ac:dyDescent="0.15">
      <c r="B66"/>
    </row>
    <row r="67" spans="2:2" ht="14" x14ac:dyDescent="0.15">
      <c r="B67"/>
    </row>
    <row r="68" spans="2:2" ht="14" x14ac:dyDescent="0.15">
      <c r="B68"/>
    </row>
    <row r="69" spans="2:2" ht="14" x14ac:dyDescent="0.15">
      <c r="B69"/>
    </row>
    <row r="70" spans="2:2" ht="14" x14ac:dyDescent="0.15">
      <c r="B70"/>
    </row>
    <row r="71" spans="2:2" ht="14" x14ac:dyDescent="0.15">
      <c r="B71"/>
    </row>
    <row r="72" spans="2:2" ht="14" x14ac:dyDescent="0.15">
      <c r="B72"/>
    </row>
    <row r="73" spans="2:2" ht="14" x14ac:dyDescent="0.15">
      <c r="B73"/>
    </row>
    <row r="74" spans="2:2" ht="14" x14ac:dyDescent="0.15">
      <c r="B74"/>
    </row>
    <row r="75" spans="2:2" ht="14" x14ac:dyDescent="0.15">
      <c r="B75"/>
    </row>
    <row r="76" spans="2:2" ht="14" x14ac:dyDescent="0.15">
      <c r="B76"/>
    </row>
    <row r="77" spans="2:2" ht="14" x14ac:dyDescent="0.15">
      <c r="B77"/>
    </row>
    <row r="78" spans="2:2" ht="14" x14ac:dyDescent="0.15">
      <c r="B78"/>
    </row>
    <row r="79" spans="2:2" ht="14" x14ac:dyDescent="0.15">
      <c r="B79"/>
    </row>
    <row r="80" spans="2:2" ht="14" x14ac:dyDescent="0.15">
      <c r="B80"/>
    </row>
    <row r="81" spans="2:2" ht="14" x14ac:dyDescent="0.15">
      <c r="B81"/>
    </row>
    <row r="82" spans="2:2" ht="14" x14ac:dyDescent="0.15">
      <c r="B82"/>
    </row>
    <row r="83" spans="2:2" ht="14" x14ac:dyDescent="0.15">
      <c r="B83"/>
    </row>
    <row r="84" spans="2:2" ht="14" x14ac:dyDescent="0.15">
      <c r="B84"/>
    </row>
    <row r="85" spans="2:2" ht="14" x14ac:dyDescent="0.15">
      <c r="B85"/>
    </row>
    <row r="86" spans="2:2" ht="14" x14ac:dyDescent="0.15">
      <c r="B86"/>
    </row>
    <row r="87" spans="2:2" ht="14" x14ac:dyDescent="0.15">
      <c r="B87"/>
    </row>
    <row r="88" spans="2:2" ht="14" x14ac:dyDescent="0.15">
      <c r="B88"/>
    </row>
    <row r="89" spans="2:2" ht="14" x14ac:dyDescent="0.15">
      <c r="B89"/>
    </row>
    <row r="90" spans="2:2" ht="14" x14ac:dyDescent="0.15">
      <c r="B90"/>
    </row>
    <row r="91" spans="2:2" ht="14" x14ac:dyDescent="0.15">
      <c r="B91"/>
    </row>
    <row r="92" spans="2:2" ht="14" x14ac:dyDescent="0.15">
      <c r="B92"/>
    </row>
    <row r="93" spans="2:2" ht="14" x14ac:dyDescent="0.15">
      <c r="B93"/>
    </row>
    <row r="94" spans="2:2" ht="14" x14ac:dyDescent="0.15">
      <c r="B94"/>
    </row>
    <row r="95" spans="2:2" ht="14" x14ac:dyDescent="0.15">
      <c r="B95"/>
    </row>
    <row r="96" spans="2:2" ht="14" x14ac:dyDescent="0.15">
      <c r="B96"/>
    </row>
    <row r="97" spans="2:2" ht="14" x14ac:dyDescent="0.15">
      <c r="B97"/>
    </row>
    <row r="98" spans="2:2" ht="14" x14ac:dyDescent="0.15">
      <c r="B98"/>
    </row>
    <row r="99" spans="2:2" ht="14" x14ac:dyDescent="0.15">
      <c r="B99"/>
    </row>
    <row r="100" spans="2:2" ht="14" x14ac:dyDescent="0.15">
      <c r="B100"/>
    </row>
    <row r="101" spans="2:2" ht="14" x14ac:dyDescent="0.15">
      <c r="B101"/>
    </row>
    <row r="102" spans="2:2" ht="14" x14ac:dyDescent="0.15">
      <c r="B102"/>
    </row>
    <row r="103" spans="2:2" ht="14" x14ac:dyDescent="0.15">
      <c r="B103"/>
    </row>
    <row r="104" spans="2:2" ht="14" x14ac:dyDescent="0.15">
      <c r="B104"/>
    </row>
    <row r="105" spans="2:2" ht="14" x14ac:dyDescent="0.15">
      <c r="B105"/>
    </row>
    <row r="106" spans="2:2" ht="14" x14ac:dyDescent="0.15">
      <c r="B106"/>
    </row>
    <row r="107" spans="2:2" ht="14" x14ac:dyDescent="0.15">
      <c r="B107"/>
    </row>
    <row r="108" spans="2:2" ht="14" x14ac:dyDescent="0.15">
      <c r="B108"/>
    </row>
    <row r="109" spans="2:2" ht="14" x14ac:dyDescent="0.15">
      <c r="B109"/>
    </row>
    <row r="110" spans="2:2" ht="14" x14ac:dyDescent="0.15">
      <c r="B110"/>
    </row>
    <row r="111" spans="2:2" ht="14" x14ac:dyDescent="0.15">
      <c r="B111"/>
    </row>
    <row r="112" spans="2:2" ht="14" x14ac:dyDescent="0.15">
      <c r="B112"/>
    </row>
    <row r="113" spans="2:2" ht="14" x14ac:dyDescent="0.15">
      <c r="B113"/>
    </row>
    <row r="114" spans="2:2" ht="14" x14ac:dyDescent="0.15">
      <c r="B114"/>
    </row>
    <row r="115" spans="2:2" ht="14" x14ac:dyDescent="0.15">
      <c r="B115"/>
    </row>
    <row r="116" spans="2:2" ht="14" x14ac:dyDescent="0.15">
      <c r="B116"/>
    </row>
    <row r="117" spans="2:2" ht="14" x14ac:dyDescent="0.15">
      <c r="B117"/>
    </row>
    <row r="118" spans="2:2" ht="14" x14ac:dyDescent="0.15">
      <c r="B118"/>
    </row>
    <row r="119" spans="2:2" ht="14" x14ac:dyDescent="0.15">
      <c r="B119"/>
    </row>
    <row r="120" spans="2:2" ht="14" x14ac:dyDescent="0.15">
      <c r="B120"/>
    </row>
    <row r="121" spans="2:2" ht="14" x14ac:dyDescent="0.15">
      <c r="B121"/>
    </row>
    <row r="122" spans="2:2" ht="14" x14ac:dyDescent="0.15">
      <c r="B122"/>
    </row>
    <row r="123" spans="2:2" ht="14" x14ac:dyDescent="0.15">
      <c r="B123"/>
    </row>
    <row r="124" spans="2:2" ht="14" x14ac:dyDescent="0.15">
      <c r="B124"/>
    </row>
    <row r="125" spans="2:2" ht="14" x14ac:dyDescent="0.15">
      <c r="B125"/>
    </row>
    <row r="126" spans="2:2" ht="14" x14ac:dyDescent="0.15">
      <c r="B126"/>
    </row>
    <row r="127" spans="2:2" ht="14" x14ac:dyDescent="0.15">
      <c r="B127"/>
    </row>
    <row r="128" spans="2:2" ht="14" x14ac:dyDescent="0.15">
      <c r="B128"/>
    </row>
    <row r="129" spans="2:2" ht="14" x14ac:dyDescent="0.15">
      <c r="B129"/>
    </row>
    <row r="130" spans="2:2" ht="14" x14ac:dyDescent="0.15">
      <c r="B130"/>
    </row>
    <row r="131" spans="2:2" ht="14" x14ac:dyDescent="0.15">
      <c r="B131"/>
    </row>
    <row r="132" spans="2:2" ht="14" x14ac:dyDescent="0.15">
      <c r="B132"/>
    </row>
    <row r="133" spans="2:2" ht="14" x14ac:dyDescent="0.15">
      <c r="B133"/>
    </row>
    <row r="134" spans="2:2" ht="14" x14ac:dyDescent="0.15">
      <c r="B134"/>
    </row>
    <row r="135" spans="2:2" ht="14" x14ac:dyDescent="0.15">
      <c r="B135"/>
    </row>
    <row r="136" spans="2:2" ht="14" x14ac:dyDescent="0.15">
      <c r="B136"/>
    </row>
    <row r="137" spans="2:2" ht="14" x14ac:dyDescent="0.15">
      <c r="B137"/>
    </row>
    <row r="138" spans="2:2" ht="14" x14ac:dyDescent="0.15">
      <c r="B138"/>
    </row>
    <row r="139" spans="2:2" ht="14" x14ac:dyDescent="0.15">
      <c r="B139"/>
    </row>
    <row r="140" spans="2:2" ht="14" x14ac:dyDescent="0.15">
      <c r="B140"/>
    </row>
    <row r="141" spans="2:2" ht="14" x14ac:dyDescent="0.15">
      <c r="B141"/>
    </row>
  </sheetData>
  <phoneticPr fontId="4"/>
  <pageMargins left="0.75" right="0.75" top="1" bottom="1" header="0.5" footer="0.5"/>
  <pageSetup paperSize="10" scale="25" orientation="portrait" horizontalDpi="4294967292" verticalDpi="4294967292"/>
  <headerFooter alignWithMargins="0"/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64"/>
  <sheetViews>
    <sheetView workbookViewId="0">
      <selection activeCell="A2" sqref="A2:A40"/>
    </sheetView>
  </sheetViews>
  <sheetFormatPr baseColWidth="10" defaultRowHeight="13" x14ac:dyDescent="0.15"/>
  <cols>
    <col min="1" max="1" width="24.6640625" customWidth="1"/>
    <col min="2" max="3" width="22.83203125" customWidth="1"/>
    <col min="4" max="4" width="10.83203125" customWidth="1"/>
    <col min="6" max="8" width="10.83203125" customWidth="1"/>
    <col min="9" max="15" width="5.6640625" customWidth="1"/>
  </cols>
  <sheetData>
    <row r="1" spans="1:13" ht="25" customHeight="1" x14ac:dyDescent="0.15">
      <c r="A1" s="35" t="s">
        <v>5</v>
      </c>
      <c r="B1" s="36" t="s">
        <v>27</v>
      </c>
      <c r="C1" s="36" t="s">
        <v>1</v>
      </c>
      <c r="F1" s="22"/>
      <c r="G1" s="22"/>
    </row>
    <row r="2" spans="1:13" ht="29" customHeight="1" x14ac:dyDescent="0.15">
      <c r="A2" s="51">
        <v>230</v>
      </c>
      <c r="B2" s="41"/>
      <c r="C2" s="49"/>
      <c r="D2" s="19"/>
      <c r="F2" s="19"/>
      <c r="G2" s="19"/>
    </row>
    <row r="3" spans="1:13" ht="29" customHeight="1" x14ac:dyDescent="0.15">
      <c r="A3" s="51">
        <v>434</v>
      </c>
      <c r="B3" s="42"/>
      <c r="C3" s="49"/>
      <c r="D3" s="19"/>
      <c r="F3" s="19"/>
      <c r="G3" s="19"/>
    </row>
    <row r="4" spans="1:13" ht="29" customHeight="1" x14ac:dyDescent="0.15">
      <c r="A4" s="51">
        <v>556</v>
      </c>
      <c r="B4" s="41"/>
      <c r="C4" s="49"/>
      <c r="D4" s="19"/>
      <c r="F4" s="19"/>
      <c r="G4" s="19"/>
    </row>
    <row r="5" spans="1:13" ht="29" customHeight="1" x14ac:dyDescent="0.15">
      <c r="A5" s="51">
        <v>731</v>
      </c>
      <c r="B5" s="41"/>
      <c r="C5" s="49"/>
      <c r="D5" s="19"/>
      <c r="F5" s="19"/>
      <c r="G5" s="19"/>
    </row>
    <row r="6" spans="1:13" ht="29" customHeight="1" x14ac:dyDescent="0.15">
      <c r="A6" s="51">
        <v>1032</v>
      </c>
      <c r="B6" s="41"/>
      <c r="C6" s="49"/>
      <c r="D6" s="19"/>
      <c r="F6" s="19"/>
      <c r="G6" s="19"/>
    </row>
    <row r="7" spans="1:13" ht="29" customHeight="1" x14ac:dyDescent="0.15">
      <c r="A7" s="51">
        <v>1199</v>
      </c>
      <c r="B7" s="41"/>
      <c r="C7" s="49"/>
      <c r="D7" s="19"/>
      <c r="F7" s="19"/>
      <c r="G7" s="19"/>
    </row>
    <row r="8" spans="1:13" ht="29" customHeight="1" x14ac:dyDescent="0.15">
      <c r="A8" s="51">
        <v>1653</v>
      </c>
      <c r="B8" s="41"/>
      <c r="C8" s="49"/>
      <c r="D8" s="19"/>
      <c r="F8" s="19"/>
      <c r="G8" s="19"/>
    </row>
    <row r="9" spans="1:13" ht="29" customHeight="1" x14ac:dyDescent="0.15">
      <c r="A9" s="51">
        <v>1786</v>
      </c>
      <c r="B9" s="41"/>
      <c r="C9" s="49"/>
      <c r="D9" s="19"/>
      <c r="F9" s="19"/>
      <c r="G9" s="19"/>
    </row>
    <row r="10" spans="1:13" ht="29" customHeight="1" x14ac:dyDescent="0.15">
      <c r="A10" s="51">
        <v>2040</v>
      </c>
      <c r="B10" s="41"/>
      <c r="C10" s="49"/>
      <c r="D10" s="19"/>
      <c r="F10" s="19"/>
      <c r="G10" s="19"/>
    </row>
    <row r="11" spans="1:13" ht="29" customHeight="1" x14ac:dyDescent="0.15">
      <c r="A11" s="51">
        <v>2283</v>
      </c>
      <c r="B11" s="41"/>
      <c r="C11" s="49"/>
      <c r="D11" s="19"/>
      <c r="F11" s="19"/>
      <c r="G11" s="19"/>
    </row>
    <row r="12" spans="1:13" ht="29" customHeight="1" x14ac:dyDescent="0.15">
      <c r="A12" s="51">
        <v>2293</v>
      </c>
      <c r="B12" s="41"/>
      <c r="C12" s="49"/>
      <c r="D12" s="19"/>
      <c r="F12" s="19"/>
      <c r="G12" s="19"/>
    </row>
    <row r="13" spans="1:13" ht="29" customHeight="1" x14ac:dyDescent="0.15">
      <c r="A13" s="51">
        <v>2376</v>
      </c>
      <c r="B13" s="41"/>
      <c r="C13" s="49"/>
      <c r="D13" s="19"/>
      <c r="F13" s="19"/>
      <c r="G13" s="19"/>
    </row>
    <row r="14" spans="1:13" ht="29" customHeight="1" x14ac:dyDescent="0.15">
      <c r="A14" s="51">
        <v>2438</v>
      </c>
      <c r="B14" s="41"/>
      <c r="C14" s="49"/>
      <c r="D14" s="19"/>
      <c r="F14" s="19"/>
      <c r="G14" s="19"/>
    </row>
    <row r="15" spans="1:13" ht="29" customHeight="1" x14ac:dyDescent="0.15">
      <c r="A15" s="51">
        <v>2476</v>
      </c>
      <c r="B15" s="41"/>
      <c r="C15" s="49"/>
      <c r="D15" s="19"/>
      <c r="F15" s="19"/>
      <c r="G15" s="19"/>
      <c r="M15" t="s">
        <v>28</v>
      </c>
    </row>
    <row r="16" spans="1:13" ht="29" customHeight="1" x14ac:dyDescent="0.15">
      <c r="A16" s="51">
        <v>2979</v>
      </c>
      <c r="B16" s="41"/>
      <c r="C16" s="49"/>
      <c r="D16" s="19"/>
      <c r="F16" s="19"/>
      <c r="G16" s="19"/>
    </row>
    <row r="17" spans="1:7" ht="29" customHeight="1" x14ac:dyDescent="0.15">
      <c r="A17" s="51">
        <v>3132</v>
      </c>
      <c r="B17" s="41"/>
      <c r="C17" s="49"/>
      <c r="D17" s="19"/>
      <c r="F17" s="19"/>
      <c r="G17" s="19"/>
    </row>
    <row r="18" spans="1:7" ht="29" customHeight="1" x14ac:dyDescent="0.15">
      <c r="A18" s="51">
        <v>3183</v>
      </c>
      <c r="B18" s="41"/>
      <c r="C18" s="49"/>
      <c r="D18" s="19"/>
    </row>
    <row r="19" spans="1:7" ht="29" customHeight="1" x14ac:dyDescent="0.15">
      <c r="A19" s="51">
        <v>3190</v>
      </c>
      <c r="B19" s="41"/>
      <c r="C19" s="49"/>
      <c r="D19" s="19"/>
    </row>
    <row r="20" spans="1:7" ht="29" customHeight="1" x14ac:dyDescent="0.15">
      <c r="A20" s="51">
        <v>3192</v>
      </c>
      <c r="B20" s="41"/>
      <c r="C20" s="49"/>
      <c r="D20" s="19"/>
    </row>
    <row r="21" spans="1:7" ht="29" customHeight="1" x14ac:dyDescent="0.15">
      <c r="A21" s="51">
        <v>3217</v>
      </c>
      <c r="B21" s="41"/>
      <c r="C21" s="49"/>
      <c r="D21" s="19"/>
    </row>
    <row r="22" spans="1:7" ht="29" customHeight="1" x14ac:dyDescent="0.15">
      <c r="A22" s="51">
        <v>3279</v>
      </c>
      <c r="B22" s="41"/>
      <c r="C22" s="49"/>
      <c r="D22" s="19"/>
    </row>
    <row r="23" spans="1:7" ht="29" customHeight="1" x14ac:dyDescent="0.15">
      <c r="A23" s="51">
        <v>3360</v>
      </c>
      <c r="B23" s="41"/>
      <c r="C23" s="49"/>
      <c r="D23" s="19"/>
    </row>
    <row r="24" spans="1:7" ht="29" customHeight="1" x14ac:dyDescent="0.15">
      <c r="A24" s="51">
        <v>3466</v>
      </c>
      <c r="B24" s="41"/>
      <c r="C24" s="49"/>
      <c r="D24" s="19"/>
    </row>
    <row r="25" spans="1:7" ht="29" customHeight="1" x14ac:dyDescent="0.15">
      <c r="A25" s="51">
        <v>3474</v>
      </c>
      <c r="B25" s="41"/>
      <c r="C25" s="49"/>
      <c r="D25" s="19"/>
    </row>
    <row r="26" spans="1:7" ht="29" customHeight="1" x14ac:dyDescent="0.15">
      <c r="A26" s="51">
        <v>3481</v>
      </c>
      <c r="B26" s="41"/>
      <c r="C26" s="49"/>
      <c r="D26" s="19"/>
    </row>
    <row r="27" spans="1:7" ht="29" customHeight="1" x14ac:dyDescent="0.15">
      <c r="A27" s="51">
        <v>4218</v>
      </c>
      <c r="B27" s="41"/>
      <c r="C27" s="49"/>
      <c r="D27" s="19"/>
    </row>
    <row r="28" spans="1:7" ht="29" customHeight="1" x14ac:dyDescent="0.15">
      <c r="A28" s="51">
        <v>4365</v>
      </c>
      <c r="B28" s="41"/>
      <c r="C28" s="49"/>
      <c r="D28" s="19"/>
    </row>
    <row r="29" spans="1:7" ht="29" customHeight="1" x14ac:dyDescent="0.15">
      <c r="A29" s="51">
        <v>4367</v>
      </c>
      <c r="B29" s="41"/>
      <c r="C29" s="49"/>
      <c r="D29" s="19"/>
    </row>
    <row r="30" spans="1:7" ht="29" customHeight="1" x14ac:dyDescent="0.15">
      <c r="A30" s="51">
        <v>4434</v>
      </c>
      <c r="B30" s="41"/>
      <c r="C30" s="49"/>
      <c r="D30" s="19"/>
    </row>
    <row r="31" spans="1:7" ht="29" customHeight="1" x14ac:dyDescent="0.15">
      <c r="A31" s="51">
        <v>4449</v>
      </c>
      <c r="B31" s="41"/>
      <c r="C31" s="49"/>
      <c r="D31" s="19"/>
    </row>
    <row r="32" spans="1:7" ht="29" customHeight="1" x14ac:dyDescent="0.15">
      <c r="A32" s="51">
        <v>5282</v>
      </c>
      <c r="B32" s="41"/>
      <c r="C32" s="49"/>
      <c r="D32" s="19"/>
    </row>
    <row r="33" spans="1:25" ht="29" customHeight="1" x14ac:dyDescent="0.15">
      <c r="A33" s="51">
        <v>6679</v>
      </c>
      <c r="B33" s="41"/>
      <c r="C33" s="49"/>
      <c r="D33" s="19"/>
    </row>
    <row r="34" spans="1:25" ht="29" customHeight="1" x14ac:dyDescent="0.15">
      <c r="A34" s="51">
        <v>7596</v>
      </c>
      <c r="B34" s="41"/>
      <c r="C34" s="49"/>
      <c r="D34" s="19"/>
    </row>
    <row r="35" spans="1:25" ht="29" customHeight="1" x14ac:dyDescent="0.15">
      <c r="A35" s="51">
        <v>7618</v>
      </c>
      <c r="B35" s="41"/>
      <c r="C35" s="49"/>
      <c r="D35" s="19"/>
    </row>
    <row r="36" spans="1:25" ht="29" customHeight="1" x14ac:dyDescent="0.15">
      <c r="A36" s="51">
        <v>7630</v>
      </c>
      <c r="B36" s="41"/>
      <c r="C36" s="49"/>
      <c r="D36" s="19"/>
    </row>
    <row r="37" spans="1:25" ht="29" customHeight="1" x14ac:dyDescent="0.15">
      <c r="A37" s="51">
        <v>7651</v>
      </c>
      <c r="B37" s="41"/>
      <c r="C37" s="49"/>
      <c r="D37" s="19"/>
    </row>
    <row r="38" spans="1:25" ht="29" customHeight="1" x14ac:dyDescent="0.15">
      <c r="A38" s="51">
        <v>7776</v>
      </c>
      <c r="B38" s="41"/>
      <c r="C38" s="49"/>
      <c r="D38" s="19"/>
    </row>
    <row r="39" spans="1:25" ht="29" customHeight="1" x14ac:dyDescent="0.15">
      <c r="A39" s="51">
        <v>9852</v>
      </c>
      <c r="B39" s="41"/>
      <c r="C39" s="49"/>
      <c r="D39" s="19"/>
    </row>
    <row r="40" spans="1:25" ht="29" customHeight="1" x14ac:dyDescent="0.15">
      <c r="A40" s="51">
        <v>9951</v>
      </c>
      <c r="B40" s="41"/>
      <c r="C40" s="49"/>
      <c r="D40" s="19"/>
    </row>
    <row r="41" spans="1:25" ht="29" customHeight="1" x14ac:dyDescent="0.2">
      <c r="A41" s="45"/>
      <c r="B41" s="46"/>
      <c r="C41" s="46"/>
      <c r="D41" s="19"/>
    </row>
    <row r="42" spans="1:25" ht="29" customHeight="1" x14ac:dyDescent="0.15">
      <c r="A42" s="25" t="s">
        <v>22</v>
      </c>
      <c r="B42" s="39">
        <v>100</v>
      </c>
      <c r="C42" s="39">
        <v>100</v>
      </c>
      <c r="D42" s="19"/>
    </row>
    <row r="43" spans="1:25" ht="29" customHeight="1" x14ac:dyDescent="0.15">
      <c r="A43" s="28" t="s">
        <v>23</v>
      </c>
      <c r="B43" s="40" t="e">
        <f>AVERAGE(B$2:B$40)</f>
        <v>#DIV/0!</v>
      </c>
      <c r="C43" s="40" t="e">
        <f t="shared" ref="C43" si="0">AVERAGE(C$2:C$40)</f>
        <v>#DIV/0!</v>
      </c>
      <c r="D43" s="19"/>
    </row>
    <row r="44" spans="1:25" ht="29" customHeight="1" x14ac:dyDescent="0.15">
      <c r="A44" s="30" t="s">
        <v>24</v>
      </c>
      <c r="B44" s="40" t="e">
        <f>STDEV(B$2:B$40)</f>
        <v>#DIV/0!</v>
      </c>
      <c r="C44" s="40" t="e">
        <f t="shared" ref="C44" si="1">STDEV(C$2:C$40)</f>
        <v>#DIV/0!</v>
      </c>
      <c r="D44" s="19"/>
    </row>
    <row r="45" spans="1:25" ht="29" customHeight="1" x14ac:dyDescent="0.15">
      <c r="A45" s="30" t="s">
        <v>25</v>
      </c>
      <c r="B45" s="40" t="e">
        <f>MEDIAN(B$2:B$40)</f>
        <v>#NUM!</v>
      </c>
      <c r="C45" s="40" t="e">
        <f t="shared" ref="C45" si="2">MEDIAN(C$2:C$40)</f>
        <v>#NUM!</v>
      </c>
      <c r="D45" s="19"/>
    </row>
    <row r="46" spans="1:25" ht="29" customHeight="1" x14ac:dyDescent="0.2">
      <c r="E46" s="15"/>
      <c r="F46" s="20"/>
      <c r="G46" s="21"/>
      <c r="H46" s="21"/>
      <c r="I46" s="21"/>
      <c r="J46" s="21"/>
      <c r="K46" s="21"/>
      <c r="L46" s="21"/>
      <c r="M46" s="21"/>
      <c r="N46" s="21"/>
      <c r="O46" s="21"/>
      <c r="P46" s="19"/>
      <c r="Q46" s="16"/>
      <c r="R46" s="16"/>
      <c r="S46" s="16"/>
      <c r="T46" s="16"/>
      <c r="U46" s="16"/>
      <c r="V46" s="16"/>
      <c r="W46" s="16"/>
      <c r="X46" s="16"/>
      <c r="Y46" s="17"/>
    </row>
    <row r="47" spans="1:25" ht="29" customHeight="1" x14ac:dyDescent="0.15"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</row>
    <row r="48" spans="1:25" ht="29" customHeight="1" x14ac:dyDescent="0.15"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</row>
    <row r="49" spans="6:16" ht="29" customHeight="1" x14ac:dyDescent="0.15"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</row>
    <row r="50" spans="6:16" ht="29" customHeight="1" x14ac:dyDescent="0.15"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</row>
    <row r="51" spans="6:16" ht="29" customHeight="1" x14ac:dyDescent="0.15"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</row>
    <row r="52" spans="6:16" ht="29" customHeight="1" x14ac:dyDescent="0.15"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</row>
    <row r="53" spans="6:16" ht="29" customHeight="1" x14ac:dyDescent="0.15"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</row>
    <row r="54" spans="6:16" ht="29" customHeight="1" x14ac:dyDescent="0.15"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</row>
    <row r="55" spans="6:16" ht="29" customHeight="1" x14ac:dyDescent="0.15"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</row>
    <row r="56" spans="6:16" ht="29" customHeight="1" x14ac:dyDescent="0.15"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</row>
    <row r="57" spans="6:16" ht="29" customHeight="1" x14ac:dyDescent="0.15"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</row>
    <row r="58" spans="6:16" ht="29" customHeight="1" x14ac:dyDescent="0.15"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</row>
    <row r="59" spans="6:16" ht="29" customHeight="1" x14ac:dyDescent="0.15"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</row>
    <row r="60" spans="6:16" ht="25" customHeight="1" x14ac:dyDescent="0.15"/>
    <row r="61" spans="6:16" ht="25" customHeight="1" x14ac:dyDescent="0.15"/>
    <row r="62" spans="6:16" ht="25" customHeight="1" x14ac:dyDescent="0.15">
      <c r="F62" s="23"/>
      <c r="G62" s="23"/>
      <c r="H62" s="23"/>
      <c r="I62" s="23"/>
      <c r="J62" s="23"/>
      <c r="K62" s="23"/>
      <c r="L62" s="23"/>
      <c r="M62" s="23"/>
      <c r="N62" s="23"/>
      <c r="O62" s="23"/>
    </row>
    <row r="63" spans="6:16" ht="25" customHeight="1" x14ac:dyDescent="0.15"/>
    <row r="64" spans="6:16" ht="25" customHeight="1" x14ac:dyDescent="0.15"/>
  </sheetData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1"/>
  <sheetViews>
    <sheetView zoomScaleNormal="100" workbookViewId="0">
      <selection activeCell="A2" sqref="A2:A40"/>
    </sheetView>
  </sheetViews>
  <sheetFormatPr baseColWidth="10" defaultRowHeight="13" x14ac:dyDescent="0.15"/>
  <cols>
    <col min="1" max="1" width="25.83203125" customWidth="1"/>
    <col min="2" max="2" width="17.83203125" style="8" customWidth="1"/>
    <col min="3" max="3" width="18.83203125" customWidth="1"/>
    <col min="4" max="4" width="21.83203125" customWidth="1"/>
    <col min="5" max="5" width="22.83203125" customWidth="1"/>
    <col min="6" max="6" width="21.83203125" customWidth="1"/>
    <col min="7" max="7" width="15.5" customWidth="1"/>
  </cols>
  <sheetData>
    <row r="1" spans="1:8" ht="24" customHeight="1" x14ac:dyDescent="0.15">
      <c r="A1" s="44" t="s">
        <v>5</v>
      </c>
      <c r="B1" s="34" t="s">
        <v>0</v>
      </c>
      <c r="C1" s="34" t="s">
        <v>27</v>
      </c>
      <c r="D1" s="36" t="s">
        <v>1</v>
      </c>
      <c r="E1" s="36" t="s">
        <v>4</v>
      </c>
      <c r="F1" s="36" t="s">
        <v>2</v>
      </c>
      <c r="G1" s="36" t="s">
        <v>3</v>
      </c>
      <c r="H1" s="48"/>
    </row>
    <row r="2" spans="1:8" ht="29" customHeight="1" x14ac:dyDescent="0.15">
      <c r="A2" s="51">
        <v>230</v>
      </c>
      <c r="B2" s="33">
        <f>Quiz!V2</f>
        <v>1</v>
      </c>
      <c r="C2" s="41">
        <f>Exams!B2</f>
        <v>0</v>
      </c>
      <c r="D2" s="42">
        <f>Exams!C2</f>
        <v>0</v>
      </c>
      <c r="E2" s="33">
        <f>$B2+($C2/$C$42)*3.5+($D2/$D$42)*4.5</f>
        <v>1</v>
      </c>
      <c r="F2" s="33">
        <f>0.5*INT(E2/0.5)+INT( ((E2-INT(E2/0.5)*0.5)/0.25))*0.5</f>
        <v>1</v>
      </c>
      <c r="G2" s="47">
        <f>IF(F2&gt;4.75,1,0)</f>
        <v>0</v>
      </c>
      <c r="H2" s="24"/>
    </row>
    <row r="3" spans="1:8" ht="29" customHeight="1" x14ac:dyDescent="0.15">
      <c r="A3" s="51">
        <v>434</v>
      </c>
      <c r="B3" s="33">
        <f>Quiz!V3</f>
        <v>0.52</v>
      </c>
      <c r="C3" s="41">
        <f>Exams!B3</f>
        <v>0</v>
      </c>
      <c r="D3" s="42">
        <f>Exams!C3</f>
        <v>0</v>
      </c>
      <c r="E3" s="33">
        <f t="shared" ref="E3:E40" si="0">$B3+($C3/$C$42)*3.5+($D3/$D$42)*4.5</f>
        <v>0.52</v>
      </c>
      <c r="F3" s="33">
        <f t="shared" ref="F3:F19" si="1">0.5*INT(E3/0.5)+INT( ((E3-INT(E3/0.5)*0.5)/0.25))*0.5</f>
        <v>0.5</v>
      </c>
      <c r="G3" s="47">
        <f t="shared" ref="G3:G19" si="2">IF(F3&gt;4.75,1,0)</f>
        <v>0</v>
      </c>
    </row>
    <row r="4" spans="1:8" ht="29" customHeight="1" x14ac:dyDescent="0.15">
      <c r="A4" s="51">
        <v>556</v>
      </c>
      <c r="B4" s="33">
        <f>Quiz!V4</f>
        <v>1.1100000000000001</v>
      </c>
      <c r="C4" s="41">
        <f>Exams!B4</f>
        <v>0</v>
      </c>
      <c r="D4" s="42">
        <f>Exams!C4</f>
        <v>0</v>
      </c>
      <c r="E4" s="33">
        <f t="shared" si="0"/>
        <v>1.1100000000000001</v>
      </c>
      <c r="F4" s="33">
        <f t="shared" si="1"/>
        <v>1</v>
      </c>
      <c r="G4" s="47">
        <f t="shared" si="2"/>
        <v>0</v>
      </c>
    </row>
    <row r="5" spans="1:8" ht="29" customHeight="1" x14ac:dyDescent="0.15">
      <c r="A5" s="51">
        <v>731</v>
      </c>
      <c r="B5" s="33">
        <f>Quiz!V5</f>
        <v>0.6</v>
      </c>
      <c r="C5" s="41">
        <f>Exams!B5</f>
        <v>0</v>
      </c>
      <c r="D5" s="42">
        <f>Exams!C5</f>
        <v>0</v>
      </c>
      <c r="E5" s="33">
        <f t="shared" si="0"/>
        <v>0.6</v>
      </c>
      <c r="F5" s="33">
        <f t="shared" si="1"/>
        <v>0.5</v>
      </c>
      <c r="G5" s="47">
        <f t="shared" si="2"/>
        <v>0</v>
      </c>
    </row>
    <row r="6" spans="1:8" ht="29" customHeight="1" x14ac:dyDescent="0.15">
      <c r="A6" s="51">
        <v>1032</v>
      </c>
      <c r="B6" s="33">
        <f>Quiz!V6</f>
        <v>0.92</v>
      </c>
      <c r="C6" s="41">
        <f>Exams!B6</f>
        <v>0</v>
      </c>
      <c r="D6" s="42">
        <f>Exams!C6</f>
        <v>0</v>
      </c>
      <c r="E6" s="33">
        <f t="shared" si="0"/>
        <v>0.92</v>
      </c>
      <c r="F6" s="33">
        <f t="shared" si="1"/>
        <v>1</v>
      </c>
      <c r="G6" s="47">
        <f t="shared" si="2"/>
        <v>0</v>
      </c>
    </row>
    <row r="7" spans="1:8" ht="29" customHeight="1" x14ac:dyDescent="0.15">
      <c r="A7" s="51">
        <v>1199</v>
      </c>
      <c r="B7" s="33">
        <f>Quiz!V7</f>
        <v>1.32</v>
      </c>
      <c r="C7" s="41">
        <f>Exams!B7</f>
        <v>0</v>
      </c>
      <c r="D7" s="42">
        <f>Exams!C7</f>
        <v>0</v>
      </c>
      <c r="E7" s="33">
        <f t="shared" si="0"/>
        <v>1.32</v>
      </c>
      <c r="F7" s="33">
        <f t="shared" si="1"/>
        <v>1.5</v>
      </c>
      <c r="G7" s="47">
        <f t="shared" si="2"/>
        <v>0</v>
      </c>
    </row>
    <row r="8" spans="1:8" ht="29" customHeight="1" x14ac:dyDescent="0.15">
      <c r="A8" s="51">
        <v>1653</v>
      </c>
      <c r="B8" s="33">
        <f>Quiz!V8</f>
        <v>0.9</v>
      </c>
      <c r="C8" s="41">
        <f>Exams!B8</f>
        <v>0</v>
      </c>
      <c r="D8" s="42">
        <f>Exams!C8</f>
        <v>0</v>
      </c>
      <c r="E8" s="33">
        <f t="shared" si="0"/>
        <v>0.9</v>
      </c>
      <c r="F8" s="33">
        <f t="shared" si="1"/>
        <v>1</v>
      </c>
      <c r="G8" s="47">
        <f t="shared" si="2"/>
        <v>0</v>
      </c>
    </row>
    <row r="9" spans="1:8" ht="29" customHeight="1" x14ac:dyDescent="0.15">
      <c r="A9" s="51">
        <v>1786</v>
      </c>
      <c r="B9" s="33">
        <f>Quiz!V9</f>
        <v>0.96</v>
      </c>
      <c r="C9" s="41">
        <f>Exams!B9</f>
        <v>0</v>
      </c>
      <c r="D9" s="42">
        <f>Exams!C9</f>
        <v>0</v>
      </c>
      <c r="E9" s="33">
        <f t="shared" si="0"/>
        <v>0.96</v>
      </c>
      <c r="F9" s="33">
        <f t="shared" si="1"/>
        <v>1</v>
      </c>
      <c r="G9" s="47">
        <f t="shared" si="2"/>
        <v>0</v>
      </c>
    </row>
    <row r="10" spans="1:8" ht="29" customHeight="1" x14ac:dyDescent="0.15">
      <c r="A10" s="51">
        <v>2040</v>
      </c>
      <c r="B10" s="33">
        <f>Quiz!V10</f>
        <v>0.72</v>
      </c>
      <c r="C10" s="41">
        <f>Exams!B10</f>
        <v>0</v>
      </c>
      <c r="D10" s="42">
        <f>Exams!C10</f>
        <v>0</v>
      </c>
      <c r="E10" s="33">
        <f t="shared" si="0"/>
        <v>0.72</v>
      </c>
      <c r="F10" s="33">
        <f t="shared" si="1"/>
        <v>0.5</v>
      </c>
      <c r="G10" s="47">
        <f t="shared" si="2"/>
        <v>0</v>
      </c>
    </row>
    <row r="11" spans="1:8" ht="29" customHeight="1" x14ac:dyDescent="0.15">
      <c r="A11" s="51">
        <v>2283</v>
      </c>
      <c r="B11" s="33">
        <f>Quiz!V11</f>
        <v>0.92</v>
      </c>
      <c r="C11" s="41">
        <f>Exams!B11</f>
        <v>0</v>
      </c>
      <c r="D11" s="42">
        <f>Exams!C11</f>
        <v>0</v>
      </c>
      <c r="E11" s="33">
        <f t="shared" si="0"/>
        <v>0.92</v>
      </c>
      <c r="F11" s="33">
        <f t="shared" si="1"/>
        <v>1</v>
      </c>
      <c r="G11" s="47">
        <f t="shared" si="2"/>
        <v>0</v>
      </c>
    </row>
    <row r="12" spans="1:8" ht="29" customHeight="1" x14ac:dyDescent="0.15">
      <c r="A12" s="51">
        <v>2293</v>
      </c>
      <c r="B12" s="33">
        <f>Quiz!V12</f>
        <v>0.96</v>
      </c>
      <c r="C12" s="41">
        <f>Exams!B12</f>
        <v>0</v>
      </c>
      <c r="D12" s="42">
        <f>Exams!C12</f>
        <v>0</v>
      </c>
      <c r="E12" s="33">
        <f t="shared" si="0"/>
        <v>0.96</v>
      </c>
      <c r="F12" s="33">
        <f t="shared" si="1"/>
        <v>1</v>
      </c>
      <c r="G12" s="47">
        <f t="shared" si="2"/>
        <v>0</v>
      </c>
    </row>
    <row r="13" spans="1:8" ht="29" customHeight="1" x14ac:dyDescent="0.15">
      <c r="A13" s="51">
        <v>2376</v>
      </c>
      <c r="B13" s="33">
        <f>Quiz!V13</f>
        <v>0.9</v>
      </c>
      <c r="C13" s="41">
        <f>Exams!B13</f>
        <v>0</v>
      </c>
      <c r="D13" s="42">
        <f>Exams!C13</f>
        <v>0</v>
      </c>
      <c r="E13" s="33">
        <f t="shared" si="0"/>
        <v>0.9</v>
      </c>
      <c r="F13" s="33">
        <f t="shared" si="1"/>
        <v>1</v>
      </c>
      <c r="G13" s="47">
        <f t="shared" si="2"/>
        <v>0</v>
      </c>
    </row>
    <row r="14" spans="1:8" ht="29" customHeight="1" x14ac:dyDescent="0.15">
      <c r="A14" s="51">
        <v>2438</v>
      </c>
      <c r="B14" s="33">
        <f>Quiz!V14</f>
        <v>1.1399999999999999</v>
      </c>
      <c r="C14" s="41">
        <f>Exams!B14</f>
        <v>0</v>
      </c>
      <c r="D14" s="42">
        <f>Exams!C14</f>
        <v>0</v>
      </c>
      <c r="E14" s="33">
        <f t="shared" si="0"/>
        <v>1.1399999999999999</v>
      </c>
      <c r="F14" s="33">
        <f t="shared" si="1"/>
        <v>1</v>
      </c>
      <c r="G14" s="47">
        <f t="shared" si="2"/>
        <v>0</v>
      </c>
    </row>
    <row r="15" spans="1:8" ht="29" customHeight="1" x14ac:dyDescent="0.15">
      <c r="A15" s="51">
        <v>2476</v>
      </c>
      <c r="B15" s="33">
        <f>Quiz!V15</f>
        <v>1.74</v>
      </c>
      <c r="C15" s="41">
        <f>Exams!B15</f>
        <v>0</v>
      </c>
      <c r="D15" s="42">
        <f>Exams!C15</f>
        <v>0</v>
      </c>
      <c r="E15" s="33">
        <f t="shared" si="0"/>
        <v>1.74</v>
      </c>
      <c r="F15" s="33">
        <f t="shared" si="1"/>
        <v>1.5</v>
      </c>
      <c r="G15" s="47">
        <f t="shared" si="2"/>
        <v>0</v>
      </c>
    </row>
    <row r="16" spans="1:8" ht="29" customHeight="1" x14ac:dyDescent="0.15">
      <c r="A16" s="51">
        <v>2979</v>
      </c>
      <c r="B16" s="33">
        <f>Quiz!V16</f>
        <v>1.06</v>
      </c>
      <c r="C16" s="41">
        <f>Exams!B16</f>
        <v>0</v>
      </c>
      <c r="D16" s="42">
        <f>Exams!C16</f>
        <v>0</v>
      </c>
      <c r="E16" s="33">
        <f t="shared" si="0"/>
        <v>1.06</v>
      </c>
      <c r="F16" s="33">
        <f t="shared" si="1"/>
        <v>1</v>
      </c>
      <c r="G16" s="47">
        <f t="shared" si="2"/>
        <v>0</v>
      </c>
    </row>
    <row r="17" spans="1:7" ht="29" customHeight="1" x14ac:dyDescent="0.15">
      <c r="A17" s="51">
        <v>3132</v>
      </c>
      <c r="B17" s="33">
        <f>Quiz!V17</f>
        <v>0</v>
      </c>
      <c r="C17" s="41">
        <f>Exams!B17</f>
        <v>0</v>
      </c>
      <c r="D17" s="42">
        <f>Exams!C17</f>
        <v>0</v>
      </c>
      <c r="E17" s="33">
        <f t="shared" si="0"/>
        <v>0</v>
      </c>
      <c r="F17" s="33">
        <f t="shared" si="1"/>
        <v>0</v>
      </c>
      <c r="G17" s="47">
        <f t="shared" si="2"/>
        <v>0</v>
      </c>
    </row>
    <row r="18" spans="1:7" ht="29" customHeight="1" x14ac:dyDescent="0.15">
      <c r="A18" s="51">
        <v>3183</v>
      </c>
      <c r="B18" s="33">
        <f>Quiz!V18</f>
        <v>0.88</v>
      </c>
      <c r="C18" s="41">
        <f>Exams!B18</f>
        <v>0</v>
      </c>
      <c r="D18" s="42">
        <f>Exams!C18</f>
        <v>0</v>
      </c>
      <c r="E18" s="33">
        <f t="shared" si="0"/>
        <v>0.88</v>
      </c>
      <c r="F18" s="33">
        <f t="shared" si="1"/>
        <v>1</v>
      </c>
      <c r="G18" s="47">
        <f t="shared" si="2"/>
        <v>0</v>
      </c>
    </row>
    <row r="19" spans="1:7" ht="29" customHeight="1" x14ac:dyDescent="0.15">
      <c r="A19" s="51">
        <v>3190</v>
      </c>
      <c r="B19" s="33">
        <f>Quiz!V19</f>
        <v>1.02</v>
      </c>
      <c r="C19" s="41">
        <f>Exams!B19</f>
        <v>0</v>
      </c>
      <c r="D19" s="42">
        <f>Exams!C19</f>
        <v>0</v>
      </c>
      <c r="E19" s="33">
        <f t="shared" si="0"/>
        <v>1.02</v>
      </c>
      <c r="F19" s="33">
        <f t="shared" si="1"/>
        <v>1</v>
      </c>
      <c r="G19" s="47">
        <f t="shared" si="2"/>
        <v>0</v>
      </c>
    </row>
    <row r="20" spans="1:7" ht="29" customHeight="1" x14ac:dyDescent="0.15">
      <c r="A20" s="51">
        <v>3192</v>
      </c>
      <c r="B20" s="33">
        <f>Quiz!V20</f>
        <v>1.1200000000000001</v>
      </c>
      <c r="C20" s="41">
        <f>Exams!B20</f>
        <v>0</v>
      </c>
      <c r="D20" s="42">
        <f>Exams!C20</f>
        <v>0</v>
      </c>
      <c r="E20" s="33">
        <f t="shared" si="0"/>
        <v>1.1200000000000001</v>
      </c>
      <c r="F20" s="33">
        <f t="shared" ref="F20:F25" si="3">0.5*INT(E20/0.5)+INT( ((E20-INT(E20/0.5)*0.5)/0.25))*0.5</f>
        <v>1</v>
      </c>
      <c r="G20" s="47">
        <f t="shared" ref="G20:G25" si="4">IF(F20&gt;4.75,1,0)</f>
        <v>0</v>
      </c>
    </row>
    <row r="21" spans="1:7" ht="29" customHeight="1" x14ac:dyDescent="0.15">
      <c r="A21" s="51">
        <v>3217</v>
      </c>
      <c r="B21" s="33">
        <f>Quiz!V21</f>
        <v>1.24</v>
      </c>
      <c r="C21" s="41">
        <f>Exams!B21</f>
        <v>0</v>
      </c>
      <c r="D21" s="42">
        <f>Exams!C21</f>
        <v>0</v>
      </c>
      <c r="E21" s="33">
        <f t="shared" si="0"/>
        <v>1.24</v>
      </c>
      <c r="F21" s="33">
        <f t="shared" si="3"/>
        <v>1</v>
      </c>
      <c r="G21" s="47">
        <f t="shared" si="4"/>
        <v>0</v>
      </c>
    </row>
    <row r="22" spans="1:7" ht="29" customHeight="1" x14ac:dyDescent="0.15">
      <c r="A22" s="51">
        <v>3279</v>
      </c>
      <c r="B22" s="33">
        <f>Quiz!V22</f>
        <v>0.86</v>
      </c>
      <c r="C22" s="41">
        <f>Exams!B22</f>
        <v>0</v>
      </c>
      <c r="D22" s="42">
        <f>Exams!C22</f>
        <v>0</v>
      </c>
      <c r="E22" s="33">
        <f t="shared" si="0"/>
        <v>0.86</v>
      </c>
      <c r="F22" s="33">
        <f t="shared" si="3"/>
        <v>1</v>
      </c>
      <c r="G22" s="47">
        <f t="shared" si="4"/>
        <v>0</v>
      </c>
    </row>
    <row r="23" spans="1:7" ht="29" customHeight="1" x14ac:dyDescent="0.15">
      <c r="A23" s="51">
        <v>3360</v>
      </c>
      <c r="B23" s="33">
        <f>Quiz!V23</f>
        <v>1.58</v>
      </c>
      <c r="C23" s="41">
        <f>Exams!B23</f>
        <v>0</v>
      </c>
      <c r="D23" s="42">
        <f>Exams!C23</f>
        <v>0</v>
      </c>
      <c r="E23" s="33">
        <f t="shared" si="0"/>
        <v>1.58</v>
      </c>
      <c r="F23" s="33">
        <f t="shared" si="3"/>
        <v>1.5</v>
      </c>
      <c r="G23" s="47">
        <f t="shared" si="4"/>
        <v>0</v>
      </c>
    </row>
    <row r="24" spans="1:7" ht="29" customHeight="1" x14ac:dyDescent="0.15">
      <c r="A24" s="51">
        <v>3466</v>
      </c>
      <c r="B24" s="33">
        <f>Quiz!V24</f>
        <v>1.1200000000000001</v>
      </c>
      <c r="C24" s="41">
        <f>Exams!B24</f>
        <v>0</v>
      </c>
      <c r="D24" s="42">
        <f>Exams!C24</f>
        <v>0</v>
      </c>
      <c r="E24" s="33">
        <f t="shared" si="0"/>
        <v>1.1200000000000001</v>
      </c>
      <c r="F24" s="33">
        <f t="shared" si="3"/>
        <v>1</v>
      </c>
      <c r="G24" s="47">
        <f t="shared" si="4"/>
        <v>0</v>
      </c>
    </row>
    <row r="25" spans="1:7" ht="29" customHeight="1" x14ac:dyDescent="0.15">
      <c r="A25" s="51">
        <v>3474</v>
      </c>
      <c r="B25" s="33">
        <f>Quiz!V25</f>
        <v>1.22</v>
      </c>
      <c r="C25" s="41">
        <f>Exams!B25</f>
        <v>0</v>
      </c>
      <c r="D25" s="42">
        <f>Exams!C25</f>
        <v>0</v>
      </c>
      <c r="E25" s="33">
        <f t="shared" si="0"/>
        <v>1.22</v>
      </c>
      <c r="F25" s="33">
        <f t="shared" si="3"/>
        <v>1</v>
      </c>
      <c r="G25" s="47">
        <f t="shared" si="4"/>
        <v>0</v>
      </c>
    </row>
    <row r="26" spans="1:7" ht="29" customHeight="1" x14ac:dyDescent="0.15">
      <c r="A26" s="51">
        <v>3481</v>
      </c>
      <c r="B26" s="33">
        <f>Quiz!V26</f>
        <v>0.52</v>
      </c>
      <c r="C26" s="41">
        <f>Exams!B26</f>
        <v>0</v>
      </c>
      <c r="D26" s="42">
        <f>Exams!C26</f>
        <v>0</v>
      </c>
      <c r="E26" s="33">
        <f t="shared" si="0"/>
        <v>0.52</v>
      </c>
      <c r="F26" s="33">
        <f t="shared" ref="F26:F40" si="5">0.5*INT(E26/0.5)+INT( ((E26-INT(E26/0.5)*0.5)/0.25))*0.5</f>
        <v>0.5</v>
      </c>
      <c r="G26" s="47">
        <f t="shared" ref="G26:G32" si="6">IF(F26&gt;4.75,1,0)</f>
        <v>0</v>
      </c>
    </row>
    <row r="27" spans="1:7" ht="29" customHeight="1" x14ac:dyDescent="0.15">
      <c r="A27" s="51">
        <v>4218</v>
      </c>
      <c r="B27" s="33">
        <f>Quiz!V27</f>
        <v>0.8</v>
      </c>
      <c r="C27" s="41">
        <f>Exams!B27</f>
        <v>0</v>
      </c>
      <c r="D27" s="42">
        <f>Exams!C27</f>
        <v>0</v>
      </c>
      <c r="E27" s="33">
        <f t="shared" si="0"/>
        <v>0.8</v>
      </c>
      <c r="F27" s="33">
        <f t="shared" si="5"/>
        <v>1</v>
      </c>
      <c r="G27" s="47">
        <f t="shared" si="6"/>
        <v>0</v>
      </c>
    </row>
    <row r="28" spans="1:7" ht="29" customHeight="1" x14ac:dyDescent="0.15">
      <c r="A28" s="51">
        <v>4365</v>
      </c>
      <c r="B28" s="33">
        <f>Quiz!V28</f>
        <v>0.92</v>
      </c>
      <c r="C28" s="41">
        <f>Exams!B28</f>
        <v>0</v>
      </c>
      <c r="D28" s="42">
        <f>Exams!C28</f>
        <v>0</v>
      </c>
      <c r="E28" s="33">
        <f t="shared" si="0"/>
        <v>0.92</v>
      </c>
      <c r="F28" s="33">
        <f t="shared" si="5"/>
        <v>1</v>
      </c>
      <c r="G28" s="47">
        <f t="shared" si="6"/>
        <v>0</v>
      </c>
    </row>
    <row r="29" spans="1:7" ht="29" customHeight="1" x14ac:dyDescent="0.15">
      <c r="A29" s="51">
        <v>4367</v>
      </c>
      <c r="B29" s="33">
        <f>Quiz!V29</f>
        <v>0.94</v>
      </c>
      <c r="C29" s="41">
        <f>Exams!B29</f>
        <v>0</v>
      </c>
      <c r="D29" s="42">
        <f>Exams!C29</f>
        <v>0</v>
      </c>
      <c r="E29" s="33">
        <f t="shared" si="0"/>
        <v>0.94</v>
      </c>
      <c r="F29" s="33">
        <f t="shared" si="5"/>
        <v>1</v>
      </c>
      <c r="G29" s="47">
        <f t="shared" si="6"/>
        <v>0</v>
      </c>
    </row>
    <row r="30" spans="1:7" ht="29" customHeight="1" x14ac:dyDescent="0.15">
      <c r="A30" s="51">
        <v>4434</v>
      </c>
      <c r="B30" s="33">
        <f>Quiz!V30</f>
        <v>1.04</v>
      </c>
      <c r="C30" s="41">
        <f>Exams!B30</f>
        <v>0</v>
      </c>
      <c r="D30" s="42">
        <f>Exams!C30</f>
        <v>0</v>
      </c>
      <c r="E30" s="33">
        <f t="shared" si="0"/>
        <v>1.04</v>
      </c>
      <c r="F30" s="33">
        <f t="shared" si="5"/>
        <v>1</v>
      </c>
      <c r="G30" s="47">
        <f t="shared" si="6"/>
        <v>0</v>
      </c>
    </row>
    <row r="31" spans="1:7" ht="29" customHeight="1" x14ac:dyDescent="0.15">
      <c r="A31" s="51">
        <v>4449</v>
      </c>
      <c r="B31" s="33">
        <f>Quiz!V31</f>
        <v>0.57999999999999996</v>
      </c>
      <c r="C31" s="41">
        <f>Exams!B31</f>
        <v>0</v>
      </c>
      <c r="D31" s="42">
        <f>Exams!C31</f>
        <v>0</v>
      </c>
      <c r="E31" s="33">
        <f t="shared" si="0"/>
        <v>0.57999999999999996</v>
      </c>
      <c r="F31" s="33">
        <f t="shared" si="5"/>
        <v>0.5</v>
      </c>
      <c r="G31" s="47">
        <f t="shared" si="6"/>
        <v>0</v>
      </c>
    </row>
    <row r="32" spans="1:7" ht="29" customHeight="1" x14ac:dyDescent="0.15">
      <c r="A32" s="51">
        <v>5282</v>
      </c>
      <c r="B32" s="33">
        <f>Quiz!V32</f>
        <v>0.99</v>
      </c>
      <c r="C32" s="41">
        <f>Exams!B32</f>
        <v>0</v>
      </c>
      <c r="D32" s="42">
        <f>Exams!C32</f>
        <v>0</v>
      </c>
      <c r="E32" s="33">
        <f t="shared" si="0"/>
        <v>0.99</v>
      </c>
      <c r="F32" s="33">
        <f t="shared" si="5"/>
        <v>1</v>
      </c>
      <c r="G32" s="47">
        <f t="shared" si="6"/>
        <v>0</v>
      </c>
    </row>
    <row r="33" spans="1:7" ht="29" customHeight="1" x14ac:dyDescent="0.15">
      <c r="A33" s="51">
        <v>6679</v>
      </c>
      <c r="B33" s="33">
        <f>Quiz!V33</f>
        <v>0</v>
      </c>
      <c r="C33" s="41">
        <f>Exams!B33</f>
        <v>0</v>
      </c>
      <c r="D33" s="42">
        <f>Exams!C33</f>
        <v>0</v>
      </c>
      <c r="E33" s="33">
        <f t="shared" si="0"/>
        <v>0</v>
      </c>
      <c r="F33" s="33">
        <f t="shared" si="5"/>
        <v>0</v>
      </c>
      <c r="G33" s="47">
        <f>IF(F33&gt;4.75,1,0)</f>
        <v>0</v>
      </c>
    </row>
    <row r="34" spans="1:7" ht="29" customHeight="1" x14ac:dyDescent="0.15">
      <c r="A34" s="51">
        <v>7596</v>
      </c>
      <c r="B34" s="33">
        <f>Quiz!V34</f>
        <v>0.44</v>
      </c>
      <c r="C34" s="41">
        <f>Exams!B34</f>
        <v>0</v>
      </c>
      <c r="D34" s="42">
        <f>Exams!C34</f>
        <v>0</v>
      </c>
      <c r="E34" s="33">
        <f t="shared" si="0"/>
        <v>0.44</v>
      </c>
      <c r="F34" s="33">
        <f t="shared" si="5"/>
        <v>0.5</v>
      </c>
      <c r="G34" s="47">
        <f t="shared" ref="G34:G40" si="7">IF(F34&gt;4.75,1,0)</f>
        <v>0</v>
      </c>
    </row>
    <row r="35" spans="1:7" ht="29" customHeight="1" x14ac:dyDescent="0.15">
      <c r="A35" s="51">
        <v>7618</v>
      </c>
      <c r="B35" s="33">
        <f>Quiz!V35</f>
        <v>0.99</v>
      </c>
      <c r="C35" s="41">
        <f>Exams!B35</f>
        <v>0</v>
      </c>
      <c r="D35" s="42">
        <f>Exams!C35</f>
        <v>0</v>
      </c>
      <c r="E35" s="33">
        <f t="shared" si="0"/>
        <v>0.99</v>
      </c>
      <c r="F35" s="33">
        <f t="shared" si="5"/>
        <v>1</v>
      </c>
      <c r="G35" s="47">
        <f t="shared" si="7"/>
        <v>0</v>
      </c>
    </row>
    <row r="36" spans="1:7" ht="29" customHeight="1" x14ac:dyDescent="0.15">
      <c r="A36" s="51">
        <v>7630</v>
      </c>
      <c r="B36" s="33">
        <f>Quiz!V36</f>
        <v>0.56000000000000005</v>
      </c>
      <c r="C36" s="41">
        <f>Exams!B36</f>
        <v>0</v>
      </c>
      <c r="D36" s="42">
        <f>Exams!C36</f>
        <v>0</v>
      </c>
      <c r="E36" s="33">
        <f t="shared" si="0"/>
        <v>0.56000000000000005</v>
      </c>
      <c r="F36" s="33">
        <f t="shared" si="5"/>
        <v>0.5</v>
      </c>
      <c r="G36" s="47">
        <f t="shared" si="7"/>
        <v>0</v>
      </c>
    </row>
    <row r="37" spans="1:7" ht="29" customHeight="1" x14ac:dyDescent="0.15">
      <c r="A37" s="51">
        <v>7651</v>
      </c>
      <c r="B37" s="33">
        <f>Quiz!V37</f>
        <v>1.18</v>
      </c>
      <c r="C37" s="41">
        <f>Exams!B37</f>
        <v>0</v>
      </c>
      <c r="D37" s="42">
        <f>Exams!C37</f>
        <v>0</v>
      </c>
      <c r="E37" s="33">
        <f t="shared" si="0"/>
        <v>1.18</v>
      </c>
      <c r="F37" s="33">
        <f t="shared" si="5"/>
        <v>1</v>
      </c>
      <c r="G37" s="47">
        <f t="shared" si="7"/>
        <v>0</v>
      </c>
    </row>
    <row r="38" spans="1:7" ht="29" customHeight="1" x14ac:dyDescent="0.15">
      <c r="A38" s="51">
        <v>7776</v>
      </c>
      <c r="B38" s="33">
        <f>Quiz!V38</f>
        <v>0.56000000000000005</v>
      </c>
      <c r="C38" s="41">
        <f>Exams!B38</f>
        <v>0</v>
      </c>
      <c r="D38" s="42">
        <f>Exams!C38</f>
        <v>0</v>
      </c>
      <c r="E38" s="33">
        <f t="shared" si="0"/>
        <v>0.56000000000000005</v>
      </c>
      <c r="F38" s="33">
        <f t="shared" si="5"/>
        <v>0.5</v>
      </c>
      <c r="G38" s="47">
        <f t="shared" si="7"/>
        <v>0</v>
      </c>
    </row>
    <row r="39" spans="1:7" ht="29" customHeight="1" x14ac:dyDescent="0.15">
      <c r="A39" s="51">
        <v>9852</v>
      </c>
      <c r="B39" s="33">
        <f>Quiz!V39</f>
        <v>1.04</v>
      </c>
      <c r="C39" s="41">
        <f>Exams!B39</f>
        <v>0</v>
      </c>
      <c r="D39" s="42">
        <f>Exams!C39</f>
        <v>0</v>
      </c>
      <c r="E39" s="33">
        <f t="shared" si="0"/>
        <v>1.04</v>
      </c>
      <c r="F39" s="33">
        <f t="shared" ref="F39" si="8">0.5*INT(E39/0.5)+INT( ((E39-INT(E39/0.5)*0.5)/0.25))*0.5</f>
        <v>1</v>
      </c>
      <c r="G39" s="47">
        <f t="shared" ref="G39" si="9">IF(F39&gt;4.75,1,0)</f>
        <v>0</v>
      </c>
    </row>
    <row r="40" spans="1:7" ht="29" customHeight="1" x14ac:dyDescent="0.15">
      <c r="A40" s="51">
        <v>9951</v>
      </c>
      <c r="B40" s="33">
        <f>Quiz!V40</f>
        <v>0.84</v>
      </c>
      <c r="C40" s="41">
        <f>Exams!B40</f>
        <v>0</v>
      </c>
      <c r="D40" s="42">
        <f>Exams!C40</f>
        <v>0</v>
      </c>
      <c r="E40" s="33">
        <f t="shared" si="0"/>
        <v>0.84</v>
      </c>
      <c r="F40" s="33">
        <f t="shared" si="5"/>
        <v>1</v>
      </c>
      <c r="G40" s="47">
        <f t="shared" si="7"/>
        <v>0</v>
      </c>
    </row>
    <row r="41" spans="1:7" ht="29" customHeight="1" x14ac:dyDescent="0.15">
      <c r="A41" s="10"/>
      <c r="B41" s="13"/>
      <c r="C41" s="14"/>
      <c r="D41" s="9"/>
      <c r="E41" s="4"/>
      <c r="F41" s="4"/>
      <c r="G41" s="3"/>
    </row>
    <row r="42" spans="1:7" ht="29" customHeight="1" x14ac:dyDescent="0.15">
      <c r="A42" s="25" t="s">
        <v>22</v>
      </c>
      <c r="B42" s="43">
        <f>Quiz!V42</f>
        <v>2</v>
      </c>
      <c r="C42" s="26">
        <f>Exams!B42</f>
        <v>100</v>
      </c>
      <c r="D42" s="26">
        <f>Exams!C42</f>
        <v>100</v>
      </c>
      <c r="E42" s="38">
        <v>10</v>
      </c>
      <c r="F42" s="38">
        <v>10</v>
      </c>
      <c r="G42" s="38">
        <f>SUM(G2:G40)</f>
        <v>0</v>
      </c>
    </row>
    <row r="43" spans="1:7" ht="29" customHeight="1" x14ac:dyDescent="0.15">
      <c r="A43" s="28" t="s">
        <v>23</v>
      </c>
      <c r="B43" s="29">
        <f t="shared" ref="B43:G43" si="10">AVERAGE(B$2:B$40)</f>
        <v>0.90282051282051279</v>
      </c>
      <c r="C43" s="29">
        <f t="shared" si="10"/>
        <v>0</v>
      </c>
      <c r="D43" s="29">
        <f t="shared" si="10"/>
        <v>0</v>
      </c>
      <c r="E43" s="29">
        <f t="shared" si="10"/>
        <v>0.90282051282051279</v>
      </c>
      <c r="F43" s="29">
        <f t="shared" si="10"/>
        <v>0.88461538461538458</v>
      </c>
      <c r="G43" s="29">
        <f t="shared" si="10"/>
        <v>0</v>
      </c>
    </row>
    <row r="44" spans="1:7" ht="29" customHeight="1" x14ac:dyDescent="0.15">
      <c r="A44" s="30" t="s">
        <v>24</v>
      </c>
      <c r="B44" s="29">
        <f t="shared" ref="B44:G44" si="11">STDEV(B$2:B$40)</f>
        <v>0.34589280905740855</v>
      </c>
      <c r="C44" s="29">
        <f t="shared" si="11"/>
        <v>0</v>
      </c>
      <c r="D44" s="29">
        <f t="shared" si="11"/>
        <v>0</v>
      </c>
      <c r="E44" s="29">
        <f t="shared" si="11"/>
        <v>0.34589280905740855</v>
      </c>
      <c r="F44" s="29">
        <f t="shared" si="11"/>
        <v>0.33367054468242163</v>
      </c>
      <c r="G44" s="29">
        <f t="shared" si="11"/>
        <v>0</v>
      </c>
    </row>
    <row r="45" spans="1:7" ht="29" customHeight="1" x14ac:dyDescent="0.15">
      <c r="A45" s="30" t="s">
        <v>25</v>
      </c>
      <c r="B45" s="29">
        <f t="shared" ref="B45:G45" si="12">MEDIAN(B$2:B$40)</f>
        <v>0.94</v>
      </c>
      <c r="C45" s="29">
        <f t="shared" si="12"/>
        <v>0</v>
      </c>
      <c r="D45" s="29">
        <f t="shared" si="12"/>
        <v>0</v>
      </c>
      <c r="E45" s="29">
        <f t="shared" si="12"/>
        <v>0.94</v>
      </c>
      <c r="F45" s="29">
        <f t="shared" si="12"/>
        <v>1</v>
      </c>
      <c r="G45" s="29">
        <f t="shared" si="12"/>
        <v>0</v>
      </c>
    </row>
    <row r="46" spans="1:7" ht="29" customHeight="1" x14ac:dyDescent="0.15">
      <c r="B46"/>
    </row>
    <row r="47" spans="1:7" ht="29" customHeight="1" x14ac:dyDescent="0.15">
      <c r="B47"/>
    </row>
    <row r="48" spans="1:7" ht="29" customHeight="1" x14ac:dyDescent="0.15">
      <c r="B48"/>
    </row>
    <row r="49" spans="2:2" ht="29" customHeight="1" x14ac:dyDescent="0.15">
      <c r="B49"/>
    </row>
    <row r="50" spans="2:2" ht="29" customHeight="1" x14ac:dyDescent="0.15">
      <c r="B50"/>
    </row>
    <row r="51" spans="2:2" ht="29" customHeight="1" x14ac:dyDescent="0.15">
      <c r="B51"/>
    </row>
    <row r="52" spans="2:2" ht="29" customHeight="1" x14ac:dyDescent="0.15">
      <c r="B52"/>
    </row>
    <row r="53" spans="2:2" ht="29" customHeight="1" x14ac:dyDescent="0.15">
      <c r="B53"/>
    </row>
    <row r="54" spans="2:2" ht="29" customHeight="1" x14ac:dyDescent="0.15">
      <c r="B54"/>
    </row>
    <row r="55" spans="2:2" ht="29" customHeight="1" x14ac:dyDescent="0.15">
      <c r="B55"/>
    </row>
    <row r="56" spans="2:2" ht="29" customHeight="1" x14ac:dyDescent="0.15">
      <c r="B56"/>
    </row>
    <row r="57" spans="2:2" ht="29" customHeight="1" x14ac:dyDescent="0.15">
      <c r="B57"/>
    </row>
    <row r="58" spans="2:2" ht="29" customHeight="1" x14ac:dyDescent="0.15">
      <c r="B58"/>
    </row>
    <row r="59" spans="2:2" ht="29" customHeight="1" x14ac:dyDescent="0.15">
      <c r="B59"/>
    </row>
    <row r="60" spans="2:2" ht="28" customHeight="1" x14ac:dyDescent="0.15">
      <c r="B60"/>
    </row>
    <row r="61" spans="2:2" ht="28" customHeight="1" x14ac:dyDescent="0.15">
      <c r="B61"/>
    </row>
    <row r="62" spans="2:2" ht="28" customHeight="1" x14ac:dyDescent="0.15">
      <c r="B62"/>
    </row>
    <row r="63" spans="2:2" ht="28" customHeight="1" x14ac:dyDescent="0.15">
      <c r="B63"/>
    </row>
    <row r="64" spans="2:2" ht="28" customHeight="1" x14ac:dyDescent="0.15">
      <c r="B64"/>
    </row>
    <row r="65" spans="2:2" x14ac:dyDescent="0.15">
      <c r="B65"/>
    </row>
    <row r="66" spans="2:2" x14ac:dyDescent="0.15">
      <c r="B66"/>
    </row>
    <row r="67" spans="2:2" x14ac:dyDescent="0.15">
      <c r="B67"/>
    </row>
    <row r="68" spans="2:2" x14ac:dyDescent="0.15">
      <c r="B68"/>
    </row>
    <row r="69" spans="2:2" x14ac:dyDescent="0.15">
      <c r="B69"/>
    </row>
    <row r="70" spans="2:2" x14ac:dyDescent="0.15">
      <c r="B70"/>
    </row>
    <row r="71" spans="2:2" x14ac:dyDescent="0.15">
      <c r="B71"/>
    </row>
    <row r="72" spans="2:2" x14ac:dyDescent="0.15">
      <c r="B72"/>
    </row>
    <row r="73" spans="2:2" x14ac:dyDescent="0.15">
      <c r="B73"/>
    </row>
    <row r="74" spans="2:2" x14ac:dyDescent="0.15">
      <c r="B74"/>
    </row>
    <row r="75" spans="2:2" x14ac:dyDescent="0.15">
      <c r="B75"/>
    </row>
    <row r="76" spans="2:2" x14ac:dyDescent="0.15">
      <c r="B76"/>
    </row>
    <row r="77" spans="2:2" x14ac:dyDescent="0.15">
      <c r="B77"/>
    </row>
    <row r="78" spans="2:2" x14ac:dyDescent="0.15">
      <c r="B78"/>
    </row>
    <row r="79" spans="2:2" x14ac:dyDescent="0.15">
      <c r="B79"/>
    </row>
    <row r="80" spans="2:2" x14ac:dyDescent="0.15">
      <c r="B80"/>
    </row>
    <row r="81" spans="2:2" x14ac:dyDescent="0.15">
      <c r="B81"/>
    </row>
    <row r="82" spans="2:2" x14ac:dyDescent="0.15">
      <c r="B82"/>
    </row>
    <row r="83" spans="2:2" x14ac:dyDescent="0.15">
      <c r="B83"/>
    </row>
    <row r="84" spans="2:2" x14ac:dyDescent="0.15">
      <c r="B84"/>
    </row>
    <row r="85" spans="2:2" x14ac:dyDescent="0.15">
      <c r="B85"/>
    </row>
    <row r="86" spans="2:2" x14ac:dyDescent="0.15">
      <c r="B86"/>
    </row>
    <row r="87" spans="2:2" x14ac:dyDescent="0.15">
      <c r="B87"/>
    </row>
    <row r="88" spans="2:2" x14ac:dyDescent="0.15">
      <c r="B88"/>
    </row>
    <row r="89" spans="2:2" x14ac:dyDescent="0.15">
      <c r="B89"/>
    </row>
    <row r="90" spans="2:2" x14ac:dyDescent="0.15">
      <c r="B90"/>
    </row>
    <row r="91" spans="2:2" x14ac:dyDescent="0.15">
      <c r="B91"/>
    </row>
    <row r="92" spans="2:2" x14ac:dyDescent="0.15">
      <c r="B92"/>
    </row>
    <row r="93" spans="2:2" x14ac:dyDescent="0.15">
      <c r="B93"/>
    </row>
    <row r="94" spans="2:2" x14ac:dyDescent="0.15">
      <c r="B94"/>
    </row>
    <row r="95" spans="2:2" x14ac:dyDescent="0.15">
      <c r="B95"/>
    </row>
    <row r="96" spans="2:2" x14ac:dyDescent="0.15">
      <c r="B96"/>
    </row>
    <row r="97" spans="2:2" x14ac:dyDescent="0.15">
      <c r="B97"/>
    </row>
    <row r="98" spans="2:2" x14ac:dyDescent="0.15">
      <c r="B98"/>
    </row>
    <row r="99" spans="2:2" x14ac:dyDescent="0.15">
      <c r="B99"/>
    </row>
    <row r="100" spans="2:2" x14ac:dyDescent="0.15">
      <c r="B100"/>
    </row>
    <row r="101" spans="2:2" x14ac:dyDescent="0.15">
      <c r="B101"/>
    </row>
    <row r="102" spans="2:2" x14ac:dyDescent="0.15">
      <c r="B102"/>
    </row>
    <row r="103" spans="2:2" x14ac:dyDescent="0.15">
      <c r="B103"/>
    </row>
    <row r="104" spans="2:2" x14ac:dyDescent="0.15">
      <c r="B104"/>
    </row>
    <row r="105" spans="2:2" x14ac:dyDescent="0.15">
      <c r="B105"/>
    </row>
    <row r="106" spans="2:2" x14ac:dyDescent="0.15">
      <c r="B106"/>
    </row>
    <row r="107" spans="2:2" x14ac:dyDescent="0.15">
      <c r="B107"/>
    </row>
    <row r="108" spans="2:2" x14ac:dyDescent="0.15">
      <c r="B108"/>
    </row>
    <row r="109" spans="2:2" x14ac:dyDescent="0.15">
      <c r="B109"/>
    </row>
    <row r="110" spans="2:2" x14ac:dyDescent="0.15">
      <c r="B110"/>
    </row>
    <row r="111" spans="2:2" x14ac:dyDescent="0.15">
      <c r="B111"/>
    </row>
    <row r="112" spans="2:2" x14ac:dyDescent="0.15">
      <c r="B112"/>
    </row>
    <row r="113" spans="2:2" x14ac:dyDescent="0.15">
      <c r="B113"/>
    </row>
    <row r="114" spans="2:2" x14ac:dyDescent="0.15">
      <c r="B114"/>
    </row>
    <row r="115" spans="2:2" x14ac:dyDescent="0.15">
      <c r="B115"/>
    </row>
    <row r="116" spans="2:2" x14ac:dyDescent="0.15">
      <c r="B116"/>
    </row>
    <row r="117" spans="2:2" x14ac:dyDescent="0.15">
      <c r="B117"/>
    </row>
    <row r="118" spans="2:2" x14ac:dyDescent="0.15">
      <c r="B118"/>
    </row>
    <row r="119" spans="2:2" x14ac:dyDescent="0.15">
      <c r="B119"/>
    </row>
    <row r="120" spans="2:2" x14ac:dyDescent="0.15">
      <c r="B120"/>
    </row>
    <row r="121" spans="2:2" x14ac:dyDescent="0.15">
      <c r="B121"/>
    </row>
    <row r="122" spans="2:2" x14ac:dyDescent="0.15">
      <c r="B122"/>
    </row>
    <row r="123" spans="2:2" x14ac:dyDescent="0.15">
      <c r="B123"/>
    </row>
    <row r="124" spans="2:2" x14ac:dyDescent="0.15">
      <c r="B124"/>
    </row>
    <row r="125" spans="2:2" x14ac:dyDescent="0.15">
      <c r="B125"/>
    </row>
    <row r="126" spans="2:2" x14ac:dyDescent="0.15">
      <c r="B126"/>
    </row>
    <row r="127" spans="2:2" x14ac:dyDescent="0.15">
      <c r="B127"/>
    </row>
    <row r="128" spans="2:2" x14ac:dyDescent="0.15">
      <c r="B128"/>
    </row>
    <row r="129" spans="2:2" x14ac:dyDescent="0.15">
      <c r="B129"/>
    </row>
    <row r="130" spans="2:2" x14ac:dyDescent="0.15">
      <c r="B130"/>
    </row>
    <row r="131" spans="2:2" x14ac:dyDescent="0.15">
      <c r="B131"/>
    </row>
    <row r="132" spans="2:2" x14ac:dyDescent="0.15">
      <c r="B132"/>
    </row>
    <row r="133" spans="2:2" x14ac:dyDescent="0.15">
      <c r="B133"/>
    </row>
    <row r="134" spans="2:2" x14ac:dyDescent="0.15">
      <c r="B134"/>
    </row>
    <row r="135" spans="2:2" x14ac:dyDescent="0.15">
      <c r="B135"/>
    </row>
    <row r="136" spans="2:2" x14ac:dyDescent="0.15">
      <c r="B136"/>
    </row>
    <row r="137" spans="2:2" x14ac:dyDescent="0.15">
      <c r="B137"/>
    </row>
    <row r="138" spans="2:2" x14ac:dyDescent="0.15">
      <c r="B138"/>
    </row>
    <row r="139" spans="2:2" x14ac:dyDescent="0.15">
      <c r="B139"/>
    </row>
    <row r="140" spans="2:2" x14ac:dyDescent="0.15">
      <c r="B140"/>
    </row>
    <row r="141" spans="2:2" x14ac:dyDescent="0.15">
      <c r="B141"/>
    </row>
  </sheetData>
  <phoneticPr fontId="4" type="noConversion"/>
  <pageMargins left="0.75" right="0.75" top="1" bottom="1" header="0.5" footer="0.5"/>
  <pageSetup paperSize="10" scale="51" fitToHeight="2" orientation="portrait" horizontalDpi="4294967292" verticalDpi="4294967292"/>
  <headerFooter alignWithMargins="0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Quiz</vt:lpstr>
      <vt:lpstr>Exams</vt:lpstr>
      <vt:lpstr>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fotis ptohos</dc:creator>
  <cp:lastModifiedBy>Fotis Fotis</cp:lastModifiedBy>
  <cp:lastPrinted>2022-10-20T07:26:46Z</cp:lastPrinted>
  <dcterms:created xsi:type="dcterms:W3CDTF">2008-09-16T13:43:39Z</dcterms:created>
  <dcterms:modified xsi:type="dcterms:W3CDTF">2026-10-29T12:31:16Z</dcterms:modified>
</cp:coreProperties>
</file>