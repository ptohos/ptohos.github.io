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tohos/Documents/MyCourses/FYS115/2026/Grades/"/>
    </mc:Choice>
  </mc:AlternateContent>
  <xr:revisionPtr revIDLastSave="0" documentId="13_ncr:1_{1A5A8BD3-372A-4E4C-93B7-8F6F6910D68E}" xr6:coauthVersionLast="47" xr6:coauthVersionMax="47" xr10:uidLastSave="{00000000-0000-0000-0000-000000000000}"/>
  <bookViews>
    <workbookView xWindow="5260" yWindow="9720" windowWidth="25240" windowHeight="11740" activeTab="4" xr2:uid="{00000000-000D-0000-FFFF-FFFF00000000}"/>
  </bookViews>
  <sheets>
    <sheet name="Quizzes" sheetId="5" r:id="rId1"/>
    <sheet name="Presentations" sheetId="8" r:id="rId2"/>
    <sheet name="Reports" sheetId="9" r:id="rId3"/>
    <sheet name="Final" sheetId="10" r:id="rId4"/>
    <sheet name="Grade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D28" i="1" l="1"/>
  <c r="C28" i="1"/>
  <c r="B28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26" i="1"/>
  <c r="D25" i="1"/>
  <c r="D24" i="1"/>
  <c r="D23" i="1"/>
  <c r="D31" i="1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31" i="1"/>
  <c r="C30" i="1"/>
  <c r="C29" i="1"/>
  <c r="D30" i="1" l="1"/>
  <c r="D29" i="1"/>
  <c r="E29" i="1"/>
  <c r="E30" i="1"/>
  <c r="E31" i="1"/>
  <c r="L25" i="9" l="1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C3" i="1" s="1"/>
  <c r="J32" i="9"/>
  <c r="I32" i="9"/>
  <c r="H32" i="9"/>
  <c r="G32" i="9"/>
  <c r="F32" i="9"/>
  <c r="E32" i="9"/>
  <c r="D32" i="9"/>
  <c r="C32" i="9"/>
  <c r="B32" i="9"/>
  <c r="J32" i="8"/>
  <c r="I32" i="8"/>
  <c r="H32" i="8"/>
  <c r="G32" i="8"/>
  <c r="F32" i="8"/>
  <c r="E32" i="8"/>
  <c r="D32" i="8"/>
  <c r="C32" i="8"/>
  <c r="B32" i="8"/>
  <c r="J32" i="5"/>
  <c r="I32" i="5"/>
  <c r="H32" i="5"/>
  <c r="G32" i="5"/>
  <c r="F32" i="5"/>
  <c r="E32" i="5"/>
  <c r="D32" i="5"/>
  <c r="C32" i="5"/>
  <c r="B31" i="10"/>
  <c r="B30" i="10"/>
  <c r="B29" i="10"/>
  <c r="B28" i="10"/>
  <c r="K31" i="9"/>
  <c r="J31" i="9"/>
  <c r="I31" i="9"/>
  <c r="H31" i="9"/>
  <c r="G31" i="9"/>
  <c r="F31" i="9"/>
  <c r="E31" i="9"/>
  <c r="D31" i="9"/>
  <c r="C31" i="9"/>
  <c r="B31" i="9"/>
  <c r="L30" i="9"/>
  <c r="K30" i="9"/>
  <c r="J30" i="9"/>
  <c r="I30" i="9"/>
  <c r="H30" i="9"/>
  <c r="G30" i="9"/>
  <c r="F30" i="9"/>
  <c r="E30" i="9"/>
  <c r="D30" i="9"/>
  <c r="C30" i="9"/>
  <c r="B30" i="9"/>
  <c r="L29" i="9"/>
  <c r="K29" i="9"/>
  <c r="J29" i="9"/>
  <c r="I29" i="9"/>
  <c r="H29" i="9"/>
  <c r="G29" i="9"/>
  <c r="F29" i="9"/>
  <c r="E29" i="9"/>
  <c r="D29" i="9"/>
  <c r="C29" i="9"/>
  <c r="B29" i="9"/>
  <c r="L28" i="9"/>
  <c r="K28" i="9"/>
  <c r="J28" i="9"/>
  <c r="I28" i="9"/>
  <c r="H28" i="9"/>
  <c r="G28" i="9"/>
  <c r="F28" i="9"/>
  <c r="E28" i="9"/>
  <c r="D28" i="9"/>
  <c r="C28" i="9"/>
  <c r="B28" i="9"/>
  <c r="B31" i="8"/>
  <c r="B30" i="8"/>
  <c r="B29" i="8"/>
  <c r="B28" i="8"/>
  <c r="K31" i="8"/>
  <c r="J31" i="8"/>
  <c r="I31" i="8"/>
  <c r="H31" i="8"/>
  <c r="G31" i="8"/>
  <c r="F31" i="8"/>
  <c r="E31" i="8"/>
  <c r="D31" i="8"/>
  <c r="C31" i="8"/>
  <c r="L30" i="8"/>
  <c r="K30" i="8"/>
  <c r="J30" i="8"/>
  <c r="I30" i="8"/>
  <c r="H30" i="8"/>
  <c r="G30" i="8"/>
  <c r="F30" i="8"/>
  <c r="E30" i="8"/>
  <c r="D30" i="8"/>
  <c r="C30" i="8"/>
  <c r="L29" i="8"/>
  <c r="K29" i="8"/>
  <c r="J29" i="8"/>
  <c r="I29" i="8"/>
  <c r="H29" i="8"/>
  <c r="G29" i="8"/>
  <c r="F29" i="8"/>
  <c r="E29" i="8"/>
  <c r="D29" i="8"/>
  <c r="C29" i="8"/>
  <c r="L28" i="8"/>
  <c r="K28" i="8"/>
  <c r="J28" i="8"/>
  <c r="I28" i="8"/>
  <c r="H28" i="8"/>
  <c r="G28" i="8"/>
  <c r="F28" i="8"/>
  <c r="E28" i="8"/>
  <c r="D28" i="8"/>
  <c r="C28" i="8"/>
  <c r="K30" i="5"/>
  <c r="K29" i="5"/>
  <c r="K28" i="5"/>
  <c r="J31" i="5"/>
  <c r="I31" i="5"/>
  <c r="H31" i="5"/>
  <c r="G31" i="5"/>
  <c r="F31" i="5"/>
  <c r="E31" i="5"/>
  <c r="D31" i="5"/>
  <c r="C31" i="5"/>
  <c r="J30" i="5"/>
  <c r="I30" i="5"/>
  <c r="H30" i="5"/>
  <c r="G30" i="5"/>
  <c r="F30" i="5"/>
  <c r="E30" i="5"/>
  <c r="D30" i="5"/>
  <c r="C30" i="5"/>
  <c r="J29" i="5"/>
  <c r="I29" i="5"/>
  <c r="H29" i="5"/>
  <c r="G29" i="5"/>
  <c r="F29" i="5"/>
  <c r="E29" i="5"/>
  <c r="D29" i="5"/>
  <c r="C29" i="5"/>
  <c r="J28" i="5"/>
  <c r="I28" i="5"/>
  <c r="H28" i="5"/>
  <c r="G28" i="5"/>
  <c r="F28" i="5"/>
  <c r="E28" i="5"/>
  <c r="D28" i="5"/>
  <c r="C28" i="5"/>
  <c r="B31" i="5"/>
  <c r="B30" i="5"/>
  <c r="B29" i="5"/>
  <c r="B28" i="5"/>
  <c r="B32" i="5" l="1"/>
  <c r="K16" i="5" s="1"/>
  <c r="B17" i="1" s="1"/>
  <c r="F17" i="1" s="1"/>
  <c r="G17" i="1" s="1"/>
  <c r="K3" i="5" l="1"/>
  <c r="B4" i="1" s="1"/>
  <c r="F4" i="1" s="1"/>
  <c r="G4" i="1" s="1"/>
  <c r="K14" i="5"/>
  <c r="B15" i="1" s="1"/>
  <c r="F15" i="1" s="1"/>
  <c r="G15" i="1" s="1"/>
  <c r="K10" i="5"/>
  <c r="B11" i="1" s="1"/>
  <c r="F11" i="1" s="1"/>
  <c r="G11" i="1" s="1"/>
  <c r="K8" i="5"/>
  <c r="B9" i="1" s="1"/>
  <c r="F9" i="1" s="1"/>
  <c r="G9" i="1" s="1"/>
  <c r="K2" i="5"/>
  <c r="B3" i="1" s="1"/>
  <c r="K24" i="5"/>
  <c r="B25" i="1" s="1"/>
  <c r="F25" i="1" s="1"/>
  <c r="G25" i="1" s="1"/>
  <c r="K11" i="5"/>
  <c r="B12" i="1" s="1"/>
  <c r="F12" i="1" s="1"/>
  <c r="G12" i="1" s="1"/>
  <c r="K9" i="5"/>
  <c r="B10" i="1" s="1"/>
  <c r="F10" i="1" s="1"/>
  <c r="G10" i="1" s="1"/>
  <c r="K22" i="5"/>
  <c r="B23" i="1" s="1"/>
  <c r="F23" i="1" s="1"/>
  <c r="G23" i="1" s="1"/>
  <c r="K13" i="5"/>
  <c r="B14" i="1" s="1"/>
  <c r="F14" i="1" s="1"/>
  <c r="G14" i="1" s="1"/>
  <c r="K25" i="5"/>
  <c r="B26" i="1" s="1"/>
  <c r="F26" i="1" s="1"/>
  <c r="G26" i="1" s="1"/>
  <c r="K5" i="5"/>
  <c r="B6" i="1" s="1"/>
  <c r="F6" i="1" s="1"/>
  <c r="G6" i="1" s="1"/>
  <c r="K12" i="5"/>
  <c r="B13" i="1" s="1"/>
  <c r="F13" i="1" s="1"/>
  <c r="G13" i="1" s="1"/>
  <c r="K6" i="5"/>
  <c r="B7" i="1" s="1"/>
  <c r="F7" i="1" s="1"/>
  <c r="G7" i="1" s="1"/>
  <c r="K17" i="5"/>
  <c r="B18" i="1" s="1"/>
  <c r="F18" i="1" s="1"/>
  <c r="G18" i="1" s="1"/>
  <c r="K7" i="5"/>
  <c r="B8" i="1" s="1"/>
  <c r="F8" i="1" s="1"/>
  <c r="G8" i="1" s="1"/>
  <c r="K20" i="5"/>
  <c r="B21" i="1" s="1"/>
  <c r="F21" i="1" s="1"/>
  <c r="G21" i="1" s="1"/>
  <c r="K19" i="5"/>
  <c r="B20" i="1" s="1"/>
  <c r="F20" i="1" s="1"/>
  <c r="G20" i="1" s="1"/>
  <c r="K23" i="5"/>
  <c r="B24" i="1" s="1"/>
  <c r="F24" i="1" s="1"/>
  <c r="G24" i="1" s="1"/>
  <c r="K21" i="5"/>
  <c r="B22" i="1" s="1"/>
  <c r="F22" i="1" s="1"/>
  <c r="G22" i="1" s="1"/>
  <c r="K18" i="5"/>
  <c r="B19" i="1" s="1"/>
  <c r="F19" i="1" s="1"/>
  <c r="G19" i="1" s="1"/>
  <c r="K15" i="5"/>
  <c r="B16" i="1" s="1"/>
  <c r="F16" i="1" s="1"/>
  <c r="G16" i="1" s="1"/>
  <c r="K4" i="5"/>
  <c r="B5" i="1" s="1"/>
  <c r="F5" i="1" s="1"/>
  <c r="G5" i="1" s="1"/>
  <c r="B31" i="1" l="1"/>
  <c r="B29" i="1"/>
  <c r="B30" i="1"/>
  <c r="F3" i="1"/>
  <c r="G3" i="1" l="1"/>
  <c r="F31" i="1"/>
  <c r="F30" i="1"/>
  <c r="F29" i="1"/>
  <c r="G31" i="1" l="1"/>
  <c r="G29" i="1"/>
  <c r="G30" i="1"/>
</calcChain>
</file>

<file path=xl/sharedStrings.xml><?xml version="1.0" encoding="utf-8"?>
<sst xmlns="http://schemas.openxmlformats.org/spreadsheetml/2006/main" count="72" uniqueCount="30">
  <si>
    <t>Quizzes</t>
  </si>
  <si>
    <t>Lab04</t>
  </si>
  <si>
    <t>Lab05</t>
  </si>
  <si>
    <t>Lab06</t>
  </si>
  <si>
    <t>Lab07</t>
  </si>
  <si>
    <t>Lab08</t>
  </si>
  <si>
    <t>Lab09</t>
  </si>
  <si>
    <t>Lab10</t>
  </si>
  <si>
    <t>SUM</t>
  </si>
  <si>
    <t>Max Score</t>
    <phoneticPr fontId="1" type="noConversion"/>
  </si>
  <si>
    <t>Average</t>
    <phoneticPr fontId="1" type="noConversion"/>
  </si>
  <si>
    <t>Stnd</t>
    <phoneticPr fontId="1" type="noConversion"/>
  </si>
  <si>
    <t>Median</t>
    <phoneticPr fontId="1" type="noConversion"/>
  </si>
  <si>
    <t>Valid</t>
  </si>
  <si>
    <t>Labs Total</t>
  </si>
  <si>
    <t>Exam</t>
  </si>
  <si>
    <t>Γενικός Βαθμός</t>
  </si>
  <si>
    <t>Τελικός Βαθμός</t>
  </si>
  <si>
    <t>Max Score*Valid</t>
  </si>
  <si>
    <t>Aρ. Ταυτότητας</t>
  </si>
  <si>
    <t>Lab03</t>
  </si>
  <si>
    <t>Lab02</t>
  </si>
  <si>
    <t>Lab01</t>
  </si>
  <si>
    <t>Αρ. Ταυτότητας</t>
  </si>
  <si>
    <t>Παρουσιάσεις</t>
  </si>
  <si>
    <t>Αναφορές</t>
  </si>
  <si>
    <t>Max Score</t>
  </si>
  <si>
    <t>Average</t>
  </si>
  <si>
    <t>Stnd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</si>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</sst>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16" x14ac:knownFonts="1">
    <font>
      <sz val="11"/>
      <color indexed="8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indexed="8"/>
      <name val="Helvetica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color indexed="8"/>
      <name val="Calibri"/>
      <family val="2"/>
    </font>
    <font>
      <b/>
      <sz val="14"/>
      <color indexed="48"/>
      <name val="Arial"/>
      <family val="2"/>
    </font>
    <font>
      <b/>
      <sz val="14"/>
      <color indexed="19"/>
      <name val="Arial"/>
      <family val="2"/>
    </font>
    <font>
      <b/>
      <sz val="14"/>
      <color indexed="8"/>
      <name val="Arial"/>
      <family val="2"/>
    </font>
    <font>
      <sz val="14"/>
      <color indexed="8"/>
      <name val="Calibri"/>
      <family val="2"/>
      <scheme val="minor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3366FF"/>
      <name val="Arial"/>
      <family val="2"/>
    </font>
    <font>
      <b/>
      <sz val="14"/>
      <color rgb="FF808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164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0" borderId="0" xfId="0" applyFont="1"/>
    <xf numFmtId="165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3" fillId="0" borderId="1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0" fillId="12" borderId="1" xfId="0" applyFill="1" applyBorder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09D2-7308-D34D-B022-C3030039E471}">
  <dimension ref="A1:K32"/>
  <sheetViews>
    <sheetView workbookViewId="0">
      <selection activeCell="L1" sqref="L1"/>
    </sheetView>
  </sheetViews>
  <sheetFormatPr baseColWidth="10" defaultRowHeight="15" x14ac:dyDescent="0.2"/>
  <cols>
    <col min="1" max="1" width="19.83203125" customWidth="1"/>
    <col min="2" max="2" width="11.33203125" bestFit="1" customWidth="1"/>
    <col min="11" max="11" width="13" bestFit="1" customWidth="1"/>
  </cols>
  <sheetData>
    <row r="1" spans="1:11" ht="30" customHeight="1" x14ac:dyDescent="0.2">
      <c r="A1" s="3" t="s">
        <v>19</v>
      </c>
      <c r="B1" s="9" t="s">
        <v>21</v>
      </c>
      <c r="C1" s="9" t="s">
        <v>20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</row>
    <row r="2" spans="1:11" ht="30" customHeight="1" x14ac:dyDescent="0.2">
      <c r="A2" s="22">
        <v>434</v>
      </c>
      <c r="B2" s="19"/>
      <c r="C2" s="19"/>
      <c r="D2" s="19"/>
      <c r="E2" s="19"/>
      <c r="F2" s="19"/>
      <c r="G2" s="19"/>
      <c r="H2" s="19"/>
      <c r="I2" s="19"/>
      <c r="J2" s="19"/>
      <c r="K2" s="21">
        <f>IF(SUM($B$31:$J$31)&gt;0, 1.5*SUM(B2:J2)/SUM($B$32:$J$32), 0)</f>
        <v>0</v>
      </c>
    </row>
    <row r="3" spans="1:11" ht="30" customHeight="1" x14ac:dyDescent="0.2">
      <c r="A3" s="19">
        <v>1199</v>
      </c>
      <c r="B3" s="19">
        <v>12</v>
      </c>
      <c r="C3" s="19"/>
      <c r="D3" s="19"/>
      <c r="E3" s="19"/>
      <c r="F3" s="19"/>
      <c r="G3" s="19"/>
      <c r="H3" s="19"/>
      <c r="I3" s="19"/>
      <c r="J3" s="19"/>
      <c r="K3" s="21">
        <f t="shared" ref="K3:K25" si="0">IF(SUM($B$31:$J$31)&gt;0, 1.5*SUM(B3:J3)/SUM($B$32:$J$32), 0)</f>
        <v>1.2</v>
      </c>
    </row>
    <row r="4" spans="1:11" ht="30" customHeight="1" x14ac:dyDescent="0.2">
      <c r="A4" s="19">
        <v>1653</v>
      </c>
      <c r="B4" s="19">
        <v>15</v>
      </c>
      <c r="C4" s="19"/>
      <c r="D4" s="19"/>
      <c r="E4" s="19"/>
      <c r="F4" s="19"/>
      <c r="G4" s="19"/>
      <c r="H4" s="19"/>
      <c r="I4" s="19"/>
      <c r="J4" s="19"/>
      <c r="K4" s="21">
        <f t="shared" si="0"/>
        <v>1.5</v>
      </c>
    </row>
    <row r="5" spans="1:11" ht="30" customHeight="1" x14ac:dyDescent="0.2">
      <c r="A5" s="19">
        <v>1786</v>
      </c>
      <c r="B5" s="19">
        <v>11</v>
      </c>
      <c r="C5" s="19"/>
      <c r="D5" s="19"/>
      <c r="E5" s="19"/>
      <c r="F5" s="19"/>
      <c r="G5" s="19"/>
      <c r="H5" s="19"/>
      <c r="I5" s="19"/>
      <c r="J5" s="19"/>
      <c r="K5" s="21">
        <f t="shared" si="0"/>
        <v>1.1000000000000001</v>
      </c>
    </row>
    <row r="6" spans="1:11" ht="30" customHeight="1" x14ac:dyDescent="0.2">
      <c r="A6" s="19">
        <v>2283</v>
      </c>
      <c r="B6" s="19">
        <v>13</v>
      </c>
      <c r="C6" s="19"/>
      <c r="D6" s="19"/>
      <c r="E6" s="19"/>
      <c r="F6" s="19"/>
      <c r="G6" s="19"/>
      <c r="H6" s="19"/>
      <c r="I6" s="19"/>
      <c r="J6" s="19"/>
      <c r="K6" s="21">
        <f t="shared" si="0"/>
        <v>1.3</v>
      </c>
    </row>
    <row r="7" spans="1:11" ht="30" customHeight="1" x14ac:dyDescent="0.2">
      <c r="A7" s="19">
        <v>2293</v>
      </c>
      <c r="B7" s="19">
        <v>12</v>
      </c>
      <c r="C7" s="19"/>
      <c r="D7" s="19"/>
      <c r="E7" s="19"/>
      <c r="F7" s="19"/>
      <c r="G7" s="19"/>
      <c r="H7" s="19"/>
      <c r="I7" s="19"/>
      <c r="J7" s="19"/>
      <c r="K7" s="21">
        <f t="shared" si="0"/>
        <v>1.2</v>
      </c>
    </row>
    <row r="8" spans="1:11" ht="30" customHeight="1" x14ac:dyDescent="0.2">
      <c r="A8" s="19">
        <v>2376</v>
      </c>
      <c r="B8" s="19">
        <v>8</v>
      </c>
      <c r="C8" s="19"/>
      <c r="D8" s="19"/>
      <c r="E8" s="19"/>
      <c r="F8" s="19"/>
      <c r="G8" s="19"/>
      <c r="H8" s="19"/>
      <c r="I8" s="19"/>
      <c r="J8" s="19"/>
      <c r="K8" s="21">
        <f t="shared" si="0"/>
        <v>0.8</v>
      </c>
    </row>
    <row r="9" spans="1:11" ht="30" customHeight="1" x14ac:dyDescent="0.2">
      <c r="A9" s="19">
        <v>2438</v>
      </c>
      <c r="B9" s="19">
        <v>8</v>
      </c>
      <c r="C9" s="19"/>
      <c r="D9" s="19"/>
      <c r="E9" s="19"/>
      <c r="F9" s="19"/>
      <c r="G9" s="19"/>
      <c r="H9" s="19"/>
      <c r="I9" s="19"/>
      <c r="J9" s="19"/>
      <c r="K9" s="21">
        <f t="shared" si="0"/>
        <v>0.8</v>
      </c>
    </row>
    <row r="10" spans="1:11" ht="30" customHeight="1" x14ac:dyDescent="0.2">
      <c r="A10" s="19">
        <v>2476</v>
      </c>
      <c r="B10" s="19">
        <v>15</v>
      </c>
      <c r="C10" s="19"/>
      <c r="D10" s="19"/>
      <c r="E10" s="19"/>
      <c r="F10" s="19"/>
      <c r="G10" s="19"/>
      <c r="H10" s="19"/>
      <c r="I10" s="19"/>
      <c r="J10" s="19"/>
      <c r="K10" s="21">
        <f t="shared" si="0"/>
        <v>1.5</v>
      </c>
    </row>
    <row r="11" spans="1:11" ht="30" customHeight="1" x14ac:dyDescent="0.2">
      <c r="A11" s="19">
        <v>2979</v>
      </c>
      <c r="B11" s="19">
        <v>14</v>
      </c>
      <c r="C11" s="19"/>
      <c r="D11" s="19"/>
      <c r="E11" s="19"/>
      <c r="F11" s="19"/>
      <c r="G11" s="19"/>
      <c r="H11" s="19"/>
      <c r="I11" s="19"/>
      <c r="J11" s="19"/>
      <c r="K11" s="21">
        <f t="shared" si="0"/>
        <v>1.4</v>
      </c>
    </row>
    <row r="12" spans="1:11" ht="30" customHeight="1" x14ac:dyDescent="0.2">
      <c r="A12" s="19">
        <v>3183</v>
      </c>
      <c r="B12" s="19">
        <v>4</v>
      </c>
      <c r="C12" s="19"/>
      <c r="D12" s="19"/>
      <c r="E12" s="19"/>
      <c r="F12" s="19"/>
      <c r="G12" s="19"/>
      <c r="H12" s="19"/>
      <c r="I12" s="19"/>
      <c r="J12" s="19"/>
      <c r="K12" s="21">
        <f t="shared" si="0"/>
        <v>0.4</v>
      </c>
    </row>
    <row r="13" spans="1:11" ht="30" customHeight="1" x14ac:dyDescent="0.2">
      <c r="A13" s="19">
        <v>3190</v>
      </c>
      <c r="B13" s="19">
        <v>3</v>
      </c>
      <c r="C13" s="19"/>
      <c r="D13" s="19"/>
      <c r="E13" s="19"/>
      <c r="F13" s="19"/>
      <c r="G13" s="19"/>
      <c r="H13" s="19"/>
      <c r="I13" s="19"/>
      <c r="J13" s="19"/>
      <c r="K13" s="21">
        <f t="shared" si="0"/>
        <v>0.3</v>
      </c>
    </row>
    <row r="14" spans="1:11" ht="30" customHeight="1" x14ac:dyDescent="0.2">
      <c r="A14" s="19">
        <v>3192</v>
      </c>
      <c r="B14" s="19">
        <v>15</v>
      </c>
      <c r="C14" s="19"/>
      <c r="D14" s="19"/>
      <c r="E14" s="19"/>
      <c r="F14" s="19"/>
      <c r="G14" s="19"/>
      <c r="H14" s="19"/>
      <c r="I14" s="19"/>
      <c r="J14" s="19"/>
      <c r="K14" s="21">
        <f t="shared" si="0"/>
        <v>1.5</v>
      </c>
    </row>
    <row r="15" spans="1:11" ht="30" customHeight="1" x14ac:dyDescent="0.2">
      <c r="A15" s="19">
        <v>3217</v>
      </c>
      <c r="B15" s="19">
        <v>10</v>
      </c>
      <c r="C15" s="19"/>
      <c r="D15" s="19"/>
      <c r="E15" s="19"/>
      <c r="F15" s="19"/>
      <c r="G15" s="19"/>
      <c r="H15" s="19"/>
      <c r="I15" s="19"/>
      <c r="J15" s="19"/>
      <c r="K15" s="21">
        <f t="shared" si="0"/>
        <v>1</v>
      </c>
    </row>
    <row r="16" spans="1:11" ht="30" customHeight="1" x14ac:dyDescent="0.2">
      <c r="A16" s="19">
        <v>3279</v>
      </c>
      <c r="B16" s="19">
        <v>2</v>
      </c>
      <c r="C16" s="19"/>
      <c r="D16" s="19"/>
      <c r="E16" s="19"/>
      <c r="F16" s="19"/>
      <c r="G16" s="19"/>
      <c r="H16" s="19"/>
      <c r="I16" s="19"/>
      <c r="J16" s="19"/>
      <c r="K16" s="21">
        <f t="shared" si="0"/>
        <v>0.2</v>
      </c>
    </row>
    <row r="17" spans="1:11" ht="30" customHeight="1" x14ac:dyDescent="0.2">
      <c r="A17" s="19">
        <v>3360</v>
      </c>
      <c r="B17" s="19">
        <v>15</v>
      </c>
      <c r="C17" s="19"/>
      <c r="D17" s="19"/>
      <c r="E17" s="19"/>
      <c r="F17" s="19"/>
      <c r="G17" s="19"/>
      <c r="H17" s="19"/>
      <c r="I17" s="19"/>
      <c r="J17" s="19"/>
      <c r="K17" s="21">
        <f t="shared" si="0"/>
        <v>1.5</v>
      </c>
    </row>
    <row r="18" spans="1:11" ht="30" customHeight="1" x14ac:dyDescent="0.2">
      <c r="A18" s="19">
        <v>3466</v>
      </c>
      <c r="B18" s="19">
        <v>10.5</v>
      </c>
      <c r="C18" s="19"/>
      <c r="D18" s="19"/>
      <c r="E18" s="19"/>
      <c r="F18" s="19"/>
      <c r="G18" s="19"/>
      <c r="H18" s="19"/>
      <c r="I18" s="19"/>
      <c r="J18" s="19"/>
      <c r="K18" s="21">
        <f t="shared" si="0"/>
        <v>1.05</v>
      </c>
    </row>
    <row r="19" spans="1:11" ht="30" customHeight="1" x14ac:dyDescent="0.2">
      <c r="A19" s="19">
        <v>3474</v>
      </c>
      <c r="B19" s="19"/>
      <c r="C19" s="19"/>
      <c r="D19" s="19"/>
      <c r="E19" s="19"/>
      <c r="F19" s="19"/>
      <c r="G19" s="19"/>
      <c r="H19" s="19"/>
      <c r="I19" s="19"/>
      <c r="J19" s="19"/>
      <c r="K19" s="21">
        <f t="shared" si="0"/>
        <v>0</v>
      </c>
    </row>
    <row r="20" spans="1:11" ht="30" customHeight="1" x14ac:dyDescent="0.2">
      <c r="A20" s="19">
        <v>3481</v>
      </c>
      <c r="B20" s="19">
        <v>3</v>
      </c>
      <c r="C20" s="19"/>
      <c r="D20" s="19"/>
      <c r="E20" s="19"/>
      <c r="F20" s="19"/>
      <c r="G20" s="19"/>
      <c r="H20" s="19"/>
      <c r="I20" s="19"/>
      <c r="J20" s="19"/>
      <c r="K20" s="21">
        <f t="shared" si="0"/>
        <v>0.3</v>
      </c>
    </row>
    <row r="21" spans="1:11" ht="30" customHeight="1" x14ac:dyDescent="0.2">
      <c r="A21" s="19">
        <v>4218</v>
      </c>
      <c r="B21" s="19">
        <v>5</v>
      </c>
      <c r="C21" s="19"/>
      <c r="D21" s="19"/>
      <c r="E21" s="19"/>
      <c r="F21" s="19"/>
      <c r="G21" s="19"/>
      <c r="H21" s="19"/>
      <c r="I21" s="19"/>
      <c r="J21" s="19"/>
      <c r="K21" s="21">
        <f t="shared" si="0"/>
        <v>0.5</v>
      </c>
    </row>
    <row r="22" spans="1:11" ht="30" customHeight="1" x14ac:dyDescent="0.2">
      <c r="A22" s="19">
        <v>4365</v>
      </c>
      <c r="B22" s="19">
        <v>8</v>
      </c>
      <c r="C22" s="19"/>
      <c r="D22" s="19"/>
      <c r="E22" s="19"/>
      <c r="F22" s="19"/>
      <c r="G22" s="19"/>
      <c r="H22" s="19"/>
      <c r="I22" s="19"/>
      <c r="J22" s="19"/>
      <c r="K22" s="21">
        <f t="shared" si="0"/>
        <v>0.8</v>
      </c>
    </row>
    <row r="23" spans="1:11" ht="30" customHeight="1" x14ac:dyDescent="0.2">
      <c r="A23" s="19">
        <v>4367</v>
      </c>
      <c r="B23" s="19">
        <v>2</v>
      </c>
      <c r="C23" s="19"/>
      <c r="D23" s="19"/>
      <c r="E23" s="19"/>
      <c r="F23" s="19"/>
      <c r="G23" s="19"/>
      <c r="H23" s="19"/>
      <c r="I23" s="19"/>
      <c r="J23" s="19"/>
      <c r="K23" s="21">
        <f t="shared" si="0"/>
        <v>0.2</v>
      </c>
    </row>
    <row r="24" spans="1:11" ht="30" customHeight="1" x14ac:dyDescent="0.2">
      <c r="A24" s="19">
        <v>4434</v>
      </c>
      <c r="B24" s="19">
        <v>11</v>
      </c>
      <c r="C24" s="19"/>
      <c r="D24" s="19"/>
      <c r="E24" s="19"/>
      <c r="F24" s="19"/>
      <c r="G24" s="19"/>
      <c r="H24" s="19"/>
      <c r="I24" s="19"/>
      <c r="J24" s="19"/>
      <c r="K24" s="21">
        <f t="shared" si="0"/>
        <v>1.1000000000000001</v>
      </c>
    </row>
    <row r="25" spans="1:11" ht="30" customHeight="1" x14ac:dyDescent="0.2">
      <c r="A25" s="19">
        <v>4449</v>
      </c>
      <c r="B25" s="19">
        <v>15</v>
      </c>
      <c r="C25" s="19"/>
      <c r="D25" s="19"/>
      <c r="E25" s="19"/>
      <c r="F25" s="19"/>
      <c r="G25" s="19"/>
      <c r="H25" s="19"/>
      <c r="I25" s="19"/>
      <c r="J25" s="19"/>
      <c r="K25" s="21">
        <f t="shared" si="0"/>
        <v>1.5</v>
      </c>
    </row>
    <row r="26" spans="1:11" ht="19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 ht="30" customHeight="1" x14ac:dyDescent="0.2">
      <c r="A27" s="5" t="s">
        <v>9</v>
      </c>
      <c r="B27" s="12">
        <v>15</v>
      </c>
      <c r="C27" s="12">
        <v>15</v>
      </c>
      <c r="D27" s="12">
        <v>15</v>
      </c>
      <c r="E27" s="12">
        <v>15</v>
      </c>
      <c r="F27" s="12">
        <v>15</v>
      </c>
      <c r="G27" s="12">
        <v>15</v>
      </c>
      <c r="H27" s="12">
        <v>15</v>
      </c>
      <c r="I27" s="12">
        <v>15</v>
      </c>
      <c r="J27" s="12">
        <v>15</v>
      </c>
      <c r="K27" s="13">
        <v>1.5</v>
      </c>
    </row>
    <row r="28" spans="1:11" ht="30" customHeight="1" x14ac:dyDescent="0.2">
      <c r="A28" s="6" t="s">
        <v>10</v>
      </c>
      <c r="B28" s="14">
        <f>AVERAGE(B$2:B$25)</f>
        <v>9.6136363636363633</v>
      </c>
      <c r="C28" s="14" t="e">
        <f t="shared" ref="C28:J28" si="1">AVERAGE(C$2:C$25)</f>
        <v>#DIV/0!</v>
      </c>
      <c r="D28" s="14" t="e">
        <f t="shared" si="1"/>
        <v>#DIV/0!</v>
      </c>
      <c r="E28" s="14" t="e">
        <f t="shared" si="1"/>
        <v>#DIV/0!</v>
      </c>
      <c r="F28" s="14" t="e">
        <f t="shared" si="1"/>
        <v>#DIV/0!</v>
      </c>
      <c r="G28" s="14" t="e">
        <f t="shared" si="1"/>
        <v>#DIV/0!</v>
      </c>
      <c r="H28" s="14" t="e">
        <f t="shared" si="1"/>
        <v>#DIV/0!</v>
      </c>
      <c r="I28" s="14" t="e">
        <f t="shared" si="1"/>
        <v>#DIV/0!</v>
      </c>
      <c r="J28" s="14" t="e">
        <f t="shared" si="1"/>
        <v>#DIV/0!</v>
      </c>
      <c r="K28" s="15" t="e">
        <f>AVERAGE(G$2:G$25)</f>
        <v>#DIV/0!</v>
      </c>
    </row>
    <row r="29" spans="1:11" ht="30" customHeight="1" x14ac:dyDescent="0.2">
      <c r="A29" s="3" t="s">
        <v>11</v>
      </c>
      <c r="B29" s="14">
        <f>STDEV(B$2:B$25)</f>
        <v>4.6596847895176703</v>
      </c>
      <c r="C29" s="14" t="e">
        <f t="shared" ref="C29:J29" si="2">STDEV(C$2:C$25)</f>
        <v>#DIV/0!</v>
      </c>
      <c r="D29" s="14" t="e">
        <f t="shared" si="2"/>
        <v>#DIV/0!</v>
      </c>
      <c r="E29" s="14" t="e">
        <f t="shared" si="2"/>
        <v>#DIV/0!</v>
      </c>
      <c r="F29" s="14" t="e">
        <f t="shared" si="2"/>
        <v>#DIV/0!</v>
      </c>
      <c r="G29" s="14" t="e">
        <f t="shared" si="2"/>
        <v>#DIV/0!</v>
      </c>
      <c r="H29" s="14" t="e">
        <f t="shared" si="2"/>
        <v>#DIV/0!</v>
      </c>
      <c r="I29" s="14" t="e">
        <f t="shared" si="2"/>
        <v>#DIV/0!</v>
      </c>
      <c r="J29" s="14" t="e">
        <f t="shared" si="2"/>
        <v>#DIV/0!</v>
      </c>
      <c r="K29" s="15" t="e">
        <f>STDEV(G$2:G$25)</f>
        <v>#DIV/0!</v>
      </c>
    </row>
    <row r="30" spans="1:11" ht="30" customHeight="1" x14ac:dyDescent="0.2">
      <c r="A30" s="7" t="s">
        <v>12</v>
      </c>
      <c r="B30" s="14">
        <f>MEDIAN(B$2:B$25)</f>
        <v>10.75</v>
      </c>
      <c r="C30" s="14" t="e">
        <f t="shared" ref="C30:J30" si="3">MEDIAN(C$2:C$25)</f>
        <v>#NUM!</v>
      </c>
      <c r="D30" s="14" t="e">
        <f t="shared" si="3"/>
        <v>#NUM!</v>
      </c>
      <c r="E30" s="14" t="e">
        <f t="shared" si="3"/>
        <v>#NUM!</v>
      </c>
      <c r="F30" s="14" t="e">
        <f t="shared" si="3"/>
        <v>#NUM!</v>
      </c>
      <c r="G30" s="14" t="e">
        <f t="shared" si="3"/>
        <v>#NUM!</v>
      </c>
      <c r="H30" s="14" t="e">
        <f t="shared" si="3"/>
        <v>#NUM!</v>
      </c>
      <c r="I30" s="14" t="e">
        <f t="shared" si="3"/>
        <v>#NUM!</v>
      </c>
      <c r="J30" s="14" t="e">
        <f t="shared" si="3"/>
        <v>#NUM!</v>
      </c>
      <c r="K30" s="15" t="e">
        <f>MEDIAN(G$2:G$25)</f>
        <v>#NUM!</v>
      </c>
    </row>
    <row r="31" spans="1:11" ht="30" customHeight="1" x14ac:dyDescent="0.2">
      <c r="A31" s="8" t="s">
        <v>13</v>
      </c>
      <c r="B31" s="16">
        <f>IF(SUM(B2:B25)&gt;0,1,0)</f>
        <v>1</v>
      </c>
      <c r="C31" s="16">
        <f t="shared" ref="C31:J31" si="4">IF(SUM(C2:C25)&gt;0,1,0)</f>
        <v>0</v>
      </c>
      <c r="D31" s="16">
        <f t="shared" si="4"/>
        <v>0</v>
      </c>
      <c r="E31" s="16">
        <f t="shared" si="4"/>
        <v>0</v>
      </c>
      <c r="F31" s="16">
        <f t="shared" si="4"/>
        <v>0</v>
      </c>
      <c r="G31" s="16">
        <f t="shared" si="4"/>
        <v>0</v>
      </c>
      <c r="H31" s="16">
        <f t="shared" si="4"/>
        <v>0</v>
      </c>
      <c r="I31" s="16">
        <f t="shared" si="4"/>
        <v>0</v>
      </c>
      <c r="J31" s="16">
        <f t="shared" si="4"/>
        <v>0</v>
      </c>
      <c r="K31" s="16"/>
    </row>
    <row r="32" spans="1:11" ht="30" customHeight="1" x14ac:dyDescent="0.2">
      <c r="A32" s="5" t="s">
        <v>18</v>
      </c>
      <c r="B32" s="12">
        <f>B27*B31</f>
        <v>15</v>
      </c>
      <c r="C32" s="12">
        <f t="shared" ref="C32:J32" si="5">C27*C31</f>
        <v>0</v>
      </c>
      <c r="D32" s="12">
        <f t="shared" si="5"/>
        <v>0</v>
      </c>
      <c r="E32" s="12">
        <f t="shared" si="5"/>
        <v>0</v>
      </c>
      <c r="F32" s="12">
        <f t="shared" si="5"/>
        <v>0</v>
      </c>
      <c r="G32" s="12">
        <f t="shared" si="5"/>
        <v>0</v>
      </c>
      <c r="H32" s="12">
        <f t="shared" si="5"/>
        <v>0</v>
      </c>
      <c r="I32" s="12">
        <f t="shared" si="5"/>
        <v>0</v>
      </c>
      <c r="J32" s="12">
        <f t="shared" si="5"/>
        <v>0</v>
      </c>
      <c r="K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3086-AC2E-B542-A7C5-AA2CE9175F08}">
  <dimension ref="A1:L32"/>
  <sheetViews>
    <sheetView workbookViewId="0">
      <selection activeCell="M1" sqref="M1"/>
    </sheetView>
  </sheetViews>
  <sheetFormatPr baseColWidth="10" defaultRowHeight="15" x14ac:dyDescent="0.2"/>
  <cols>
    <col min="1" max="1" width="19.83203125" customWidth="1"/>
    <col min="2" max="3" width="11.33203125" bestFit="1" customWidth="1"/>
    <col min="12" max="12" width="13" bestFit="1" customWidth="1"/>
  </cols>
  <sheetData>
    <row r="1" spans="1:12" ht="30" customHeight="1" x14ac:dyDescent="0.2">
      <c r="A1" s="3" t="s">
        <v>23</v>
      </c>
      <c r="B1" s="9" t="s">
        <v>22</v>
      </c>
      <c r="C1" s="9" t="s">
        <v>21</v>
      </c>
      <c r="D1" s="9" t="s">
        <v>20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</row>
    <row r="2" spans="1:12" ht="30" customHeight="1" x14ac:dyDescent="0.2">
      <c r="A2" s="18">
        <v>434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>
        <f>IF(SUM($B$31:$K$31)&gt;0, 1.5*SUM(B2:K2)/SUM($B$32:$K$32), 0)</f>
        <v>0</v>
      </c>
    </row>
    <row r="3" spans="1:12" ht="30" customHeight="1" x14ac:dyDescent="0.2">
      <c r="A3" s="20">
        <v>1199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>
        <f t="shared" ref="L3:L25" si="0">IF(SUM($B$31:$K$31)&gt;0, 1.5*SUM(B3:K3)/SUM($B$32:$K$32), 0)</f>
        <v>0</v>
      </c>
    </row>
    <row r="4" spans="1:12" ht="30" customHeight="1" x14ac:dyDescent="0.2">
      <c r="A4" s="20">
        <v>1653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>
        <f t="shared" si="0"/>
        <v>0</v>
      </c>
    </row>
    <row r="5" spans="1:12" ht="30" customHeight="1" x14ac:dyDescent="0.2">
      <c r="A5" s="20">
        <v>1786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>
        <f t="shared" si="0"/>
        <v>0</v>
      </c>
    </row>
    <row r="6" spans="1:12" ht="30" customHeight="1" x14ac:dyDescent="0.2">
      <c r="A6" s="20">
        <v>2283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>
        <f t="shared" si="0"/>
        <v>0</v>
      </c>
    </row>
    <row r="7" spans="1:12" ht="30" customHeight="1" x14ac:dyDescent="0.2">
      <c r="A7" s="20">
        <v>2293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>
        <f t="shared" si="0"/>
        <v>0</v>
      </c>
    </row>
    <row r="8" spans="1:12" ht="30" customHeight="1" x14ac:dyDescent="0.2">
      <c r="A8" s="20">
        <v>2376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>
        <f t="shared" si="0"/>
        <v>0</v>
      </c>
    </row>
    <row r="9" spans="1:12" ht="30" customHeight="1" x14ac:dyDescent="0.2">
      <c r="A9" s="20">
        <v>2438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>
        <f t="shared" si="0"/>
        <v>0</v>
      </c>
    </row>
    <row r="10" spans="1:12" ht="30" customHeight="1" x14ac:dyDescent="0.2">
      <c r="A10" s="20">
        <v>2476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>
        <f t="shared" si="0"/>
        <v>0</v>
      </c>
    </row>
    <row r="11" spans="1:12" ht="30" customHeight="1" x14ac:dyDescent="0.2">
      <c r="A11" s="20">
        <v>2979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>
        <f t="shared" si="0"/>
        <v>0</v>
      </c>
    </row>
    <row r="12" spans="1:12" ht="30" customHeight="1" x14ac:dyDescent="0.2">
      <c r="A12" s="20">
        <v>3183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>
        <f t="shared" si="0"/>
        <v>0</v>
      </c>
    </row>
    <row r="13" spans="1:12" ht="30" customHeight="1" x14ac:dyDescent="0.2">
      <c r="A13" s="20">
        <v>3190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>
        <f t="shared" si="0"/>
        <v>0</v>
      </c>
    </row>
    <row r="14" spans="1:12" ht="30" customHeight="1" x14ac:dyDescent="0.2">
      <c r="A14" s="20">
        <v>3192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>
        <f t="shared" si="0"/>
        <v>0</v>
      </c>
    </row>
    <row r="15" spans="1:12" ht="30" customHeight="1" x14ac:dyDescent="0.2">
      <c r="A15" s="20">
        <v>3217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>
        <f t="shared" si="0"/>
        <v>0</v>
      </c>
    </row>
    <row r="16" spans="1:12" ht="30" customHeight="1" x14ac:dyDescent="0.2">
      <c r="A16" s="20">
        <v>3279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>
        <f t="shared" si="0"/>
        <v>0</v>
      </c>
    </row>
    <row r="17" spans="1:12" ht="30" customHeight="1" x14ac:dyDescent="0.2">
      <c r="A17" s="20">
        <v>3360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>
        <f t="shared" si="0"/>
        <v>0</v>
      </c>
    </row>
    <row r="18" spans="1:12" ht="30" customHeight="1" x14ac:dyDescent="0.2">
      <c r="A18" s="20">
        <v>3466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>
        <f t="shared" si="0"/>
        <v>0</v>
      </c>
    </row>
    <row r="19" spans="1:12" ht="30" customHeight="1" x14ac:dyDescent="0.2">
      <c r="A19" s="20">
        <v>3474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>
        <f t="shared" si="0"/>
        <v>0</v>
      </c>
    </row>
    <row r="20" spans="1:12" ht="30" customHeight="1" x14ac:dyDescent="0.2">
      <c r="A20" s="20">
        <v>3481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>
        <f t="shared" si="0"/>
        <v>0</v>
      </c>
    </row>
    <row r="21" spans="1:12" ht="30" customHeight="1" x14ac:dyDescent="0.2">
      <c r="A21" s="20">
        <v>4218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>
        <f t="shared" si="0"/>
        <v>0</v>
      </c>
    </row>
    <row r="22" spans="1:12" ht="30" customHeight="1" x14ac:dyDescent="0.2">
      <c r="A22" s="20">
        <v>4365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>
        <f t="shared" si="0"/>
        <v>0</v>
      </c>
    </row>
    <row r="23" spans="1:12" ht="30" customHeight="1" x14ac:dyDescent="0.2">
      <c r="A23" s="20">
        <v>4367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>
        <f t="shared" si="0"/>
        <v>0</v>
      </c>
    </row>
    <row r="24" spans="1:12" ht="30" customHeight="1" x14ac:dyDescent="0.2">
      <c r="A24" s="20">
        <v>4434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>
        <f t="shared" si="0"/>
        <v>0</v>
      </c>
    </row>
    <row r="25" spans="1:12" ht="30" customHeight="1" x14ac:dyDescent="0.2">
      <c r="A25" s="20">
        <v>4449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>
        <f t="shared" si="0"/>
        <v>0</v>
      </c>
    </row>
    <row r="26" spans="1:12" ht="19" x14ac:dyDescent="0.25">
      <c r="A26" s="4"/>
    </row>
    <row r="27" spans="1:12" ht="30" customHeight="1" x14ac:dyDescent="0.2">
      <c r="A27" s="5" t="s">
        <v>9</v>
      </c>
      <c r="B27" s="12">
        <v>15</v>
      </c>
      <c r="C27" s="12">
        <v>15</v>
      </c>
      <c r="D27" s="12">
        <v>15</v>
      </c>
      <c r="E27" s="12">
        <v>15</v>
      </c>
      <c r="F27" s="12">
        <v>15</v>
      </c>
      <c r="G27" s="12">
        <v>15</v>
      </c>
      <c r="H27" s="12">
        <v>15</v>
      </c>
      <c r="I27" s="12">
        <v>15</v>
      </c>
      <c r="J27" s="12">
        <v>15</v>
      </c>
      <c r="K27" s="12">
        <v>15</v>
      </c>
      <c r="L27" s="13">
        <v>1.5</v>
      </c>
    </row>
    <row r="28" spans="1:12" ht="30" customHeight="1" x14ac:dyDescent="0.2">
      <c r="A28" s="6" t="s">
        <v>10</v>
      </c>
      <c r="B28" s="14" t="e">
        <f>AVERAGE(B$2:B$25)</f>
        <v>#DIV/0!</v>
      </c>
      <c r="C28" s="14" t="e">
        <f>AVERAGE(C$2:C$25)</f>
        <v>#DIV/0!</v>
      </c>
      <c r="D28" s="14" t="e">
        <f t="shared" ref="D28:K28" si="1">AVERAGE(D$2:D$25)</f>
        <v>#DIV/0!</v>
      </c>
      <c r="E28" s="14" t="e">
        <f t="shared" si="1"/>
        <v>#DIV/0!</v>
      </c>
      <c r="F28" s="14" t="e">
        <f t="shared" si="1"/>
        <v>#DIV/0!</v>
      </c>
      <c r="G28" s="14" t="e">
        <f t="shared" si="1"/>
        <v>#DIV/0!</v>
      </c>
      <c r="H28" s="14" t="e">
        <f t="shared" si="1"/>
        <v>#DIV/0!</v>
      </c>
      <c r="I28" s="14" t="e">
        <f t="shared" si="1"/>
        <v>#DIV/0!</v>
      </c>
      <c r="J28" s="14" t="e">
        <f t="shared" si="1"/>
        <v>#DIV/0!</v>
      </c>
      <c r="K28" s="14" t="e">
        <f t="shared" si="1"/>
        <v>#DIV/0!</v>
      </c>
      <c r="L28" s="15" t="e">
        <f>AVERAGE(H$2:H$25)</f>
        <v>#DIV/0!</v>
      </c>
    </row>
    <row r="29" spans="1:12" ht="30" customHeight="1" x14ac:dyDescent="0.2">
      <c r="A29" s="3" t="s">
        <v>11</v>
      </c>
      <c r="B29" s="14" t="e">
        <f>STDEV(B$2:B$25)</f>
        <v>#DIV/0!</v>
      </c>
      <c r="C29" s="14" t="e">
        <f>STDEV(C$2:C$25)</f>
        <v>#DIV/0!</v>
      </c>
      <c r="D29" s="14" t="e">
        <f t="shared" ref="D29:K29" si="2">STDEV(D$2:D$25)</f>
        <v>#DIV/0!</v>
      </c>
      <c r="E29" s="14" t="e">
        <f t="shared" si="2"/>
        <v>#DIV/0!</v>
      </c>
      <c r="F29" s="14" t="e">
        <f t="shared" si="2"/>
        <v>#DIV/0!</v>
      </c>
      <c r="G29" s="14" t="e">
        <f t="shared" si="2"/>
        <v>#DIV/0!</v>
      </c>
      <c r="H29" s="14" t="e">
        <f t="shared" si="2"/>
        <v>#DIV/0!</v>
      </c>
      <c r="I29" s="14" t="e">
        <f t="shared" si="2"/>
        <v>#DIV/0!</v>
      </c>
      <c r="J29" s="14" t="e">
        <f t="shared" si="2"/>
        <v>#DIV/0!</v>
      </c>
      <c r="K29" s="14" t="e">
        <f t="shared" si="2"/>
        <v>#DIV/0!</v>
      </c>
      <c r="L29" s="15" t="e">
        <f>STDEV(H$2:H$25)</f>
        <v>#DIV/0!</v>
      </c>
    </row>
    <row r="30" spans="1:12" ht="30" customHeight="1" x14ac:dyDescent="0.2">
      <c r="A30" s="7" t="s">
        <v>12</v>
      </c>
      <c r="B30" s="14" t="e">
        <f>MEDIAN(B$2:B$25)</f>
        <v>#NUM!</v>
      </c>
      <c r="C30" s="14" t="e">
        <f>MEDIAN(C$2:C$25)</f>
        <v>#NUM!</v>
      </c>
      <c r="D30" s="14" t="e">
        <f t="shared" ref="D30:K30" si="3">MEDIAN(D$2:D$25)</f>
        <v>#NUM!</v>
      </c>
      <c r="E30" s="14" t="e">
        <f t="shared" si="3"/>
        <v>#NUM!</v>
      </c>
      <c r="F30" s="14" t="e">
        <f t="shared" si="3"/>
        <v>#NUM!</v>
      </c>
      <c r="G30" s="14" t="e">
        <f t="shared" si="3"/>
        <v>#NUM!</v>
      </c>
      <c r="H30" s="14" t="e">
        <f t="shared" si="3"/>
        <v>#NUM!</v>
      </c>
      <c r="I30" s="14" t="e">
        <f t="shared" si="3"/>
        <v>#NUM!</v>
      </c>
      <c r="J30" s="14" t="e">
        <f t="shared" si="3"/>
        <v>#NUM!</v>
      </c>
      <c r="K30" s="14" t="e">
        <f t="shared" si="3"/>
        <v>#NUM!</v>
      </c>
      <c r="L30" s="15" t="e">
        <f>MEDIAN(H$2:H$25)</f>
        <v>#NUM!</v>
      </c>
    </row>
    <row r="31" spans="1:12" ht="30" customHeight="1" x14ac:dyDescent="0.2">
      <c r="A31" s="8" t="s">
        <v>13</v>
      </c>
      <c r="B31" s="16">
        <f>IF(SUM(B2:B25)&gt;0,1,0)</f>
        <v>0</v>
      </c>
      <c r="C31" s="16">
        <f>IF(SUM(C2:C25)&gt;0,1,0)</f>
        <v>0</v>
      </c>
      <c r="D31" s="16">
        <f t="shared" ref="D31:K31" si="4">IF(SUM(D2:D25)&gt;0,1,0)</f>
        <v>0</v>
      </c>
      <c r="E31" s="16">
        <f t="shared" si="4"/>
        <v>0</v>
      </c>
      <c r="F31" s="16">
        <f t="shared" si="4"/>
        <v>0</v>
      </c>
      <c r="G31" s="16">
        <f t="shared" si="4"/>
        <v>0</v>
      </c>
      <c r="H31" s="16">
        <f t="shared" si="4"/>
        <v>0</v>
      </c>
      <c r="I31" s="16">
        <f t="shared" si="4"/>
        <v>0</v>
      </c>
      <c r="J31" s="16">
        <f t="shared" si="4"/>
        <v>0</v>
      </c>
      <c r="K31" s="16">
        <f t="shared" si="4"/>
        <v>0</v>
      </c>
      <c r="L31" s="16"/>
    </row>
    <row r="32" spans="1:12" ht="30" customHeight="1" x14ac:dyDescent="0.2">
      <c r="A32" s="5" t="s">
        <v>18</v>
      </c>
      <c r="B32" s="12">
        <f>B27*B31</f>
        <v>0</v>
      </c>
      <c r="C32" s="12">
        <f t="shared" ref="C32:J32" si="5">C27*C31</f>
        <v>0</v>
      </c>
      <c r="D32" s="12">
        <f t="shared" si="5"/>
        <v>0</v>
      </c>
      <c r="E32" s="12">
        <f t="shared" si="5"/>
        <v>0</v>
      </c>
      <c r="F32" s="12">
        <f t="shared" si="5"/>
        <v>0</v>
      </c>
      <c r="G32" s="12">
        <f t="shared" si="5"/>
        <v>0</v>
      </c>
      <c r="H32" s="12">
        <f t="shared" si="5"/>
        <v>0</v>
      </c>
      <c r="I32" s="12">
        <f t="shared" si="5"/>
        <v>0</v>
      </c>
      <c r="J32" s="12">
        <f t="shared" si="5"/>
        <v>0</v>
      </c>
      <c r="K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EFC0-DDE7-1049-85CF-77670E31C13D}">
  <dimension ref="A1:L32"/>
  <sheetViews>
    <sheetView workbookViewId="0">
      <selection activeCell="M1" sqref="M1"/>
    </sheetView>
  </sheetViews>
  <sheetFormatPr baseColWidth="10" defaultRowHeight="15" x14ac:dyDescent="0.2"/>
  <cols>
    <col min="1" max="1" width="20.1640625" customWidth="1"/>
    <col min="2" max="3" width="11.33203125" bestFit="1" customWidth="1"/>
    <col min="12" max="12" width="13" bestFit="1" customWidth="1"/>
  </cols>
  <sheetData>
    <row r="1" spans="1:12" ht="30" customHeight="1" x14ac:dyDescent="0.2">
      <c r="A1" s="3" t="s">
        <v>23</v>
      </c>
      <c r="B1" s="9" t="s">
        <v>22</v>
      </c>
      <c r="C1" s="9" t="s">
        <v>21</v>
      </c>
      <c r="D1" s="9" t="s">
        <v>20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</row>
    <row r="2" spans="1:12" ht="30" customHeight="1" x14ac:dyDescent="0.2">
      <c r="A2" s="18">
        <v>434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3">
        <f>IF(SUM($B$31:$K$31)&gt;0, 1.5*SUM(B2:K2)/SUM($B$32:$K$32), 0)</f>
        <v>0</v>
      </c>
    </row>
    <row r="3" spans="1:12" ht="30" customHeight="1" x14ac:dyDescent="0.2">
      <c r="A3" s="20">
        <v>1199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3">
        <f t="shared" ref="L3:L25" si="0">IF(SUM($B$31:$K$31)&gt;0, 1.5*SUM(B3:K3)/SUM($B$32:$K$32), 0)</f>
        <v>0</v>
      </c>
    </row>
    <row r="4" spans="1:12" ht="30" customHeight="1" x14ac:dyDescent="0.2">
      <c r="A4" s="20">
        <v>1653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23">
        <f t="shared" si="0"/>
        <v>0</v>
      </c>
    </row>
    <row r="5" spans="1:12" ht="30" customHeight="1" x14ac:dyDescent="0.2">
      <c r="A5" s="20">
        <v>1786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3">
        <f t="shared" si="0"/>
        <v>0</v>
      </c>
    </row>
    <row r="6" spans="1:12" ht="30" customHeight="1" x14ac:dyDescent="0.2">
      <c r="A6" s="20">
        <v>2283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3">
        <f t="shared" si="0"/>
        <v>0</v>
      </c>
    </row>
    <row r="7" spans="1:12" ht="30" customHeight="1" x14ac:dyDescent="0.2">
      <c r="A7" s="20">
        <v>2293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3">
        <f t="shared" si="0"/>
        <v>0</v>
      </c>
    </row>
    <row r="8" spans="1:12" ht="30" customHeight="1" x14ac:dyDescent="0.2">
      <c r="A8" s="20">
        <v>2376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3">
        <f t="shared" si="0"/>
        <v>0</v>
      </c>
    </row>
    <row r="9" spans="1:12" ht="30" customHeight="1" x14ac:dyDescent="0.2">
      <c r="A9" s="20">
        <v>2438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3">
        <f t="shared" si="0"/>
        <v>0</v>
      </c>
    </row>
    <row r="10" spans="1:12" ht="30" customHeight="1" x14ac:dyDescent="0.2">
      <c r="A10" s="20">
        <v>2476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3">
        <f t="shared" si="0"/>
        <v>0</v>
      </c>
    </row>
    <row r="11" spans="1:12" ht="30" customHeight="1" x14ac:dyDescent="0.2">
      <c r="A11" s="20">
        <v>2979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3">
        <f t="shared" si="0"/>
        <v>0</v>
      </c>
    </row>
    <row r="12" spans="1:12" ht="30" customHeight="1" x14ac:dyDescent="0.2">
      <c r="A12" s="20">
        <v>3183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3">
        <f t="shared" si="0"/>
        <v>0</v>
      </c>
    </row>
    <row r="13" spans="1:12" ht="30" customHeight="1" x14ac:dyDescent="0.2">
      <c r="A13" s="20">
        <v>3190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3">
        <f t="shared" si="0"/>
        <v>0</v>
      </c>
    </row>
    <row r="14" spans="1:12" ht="30" customHeight="1" x14ac:dyDescent="0.2">
      <c r="A14" s="20">
        <v>3192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3">
        <f t="shared" si="0"/>
        <v>0</v>
      </c>
    </row>
    <row r="15" spans="1:12" ht="30" customHeight="1" x14ac:dyDescent="0.2">
      <c r="A15" s="20">
        <v>3217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3">
        <f t="shared" si="0"/>
        <v>0</v>
      </c>
    </row>
    <row r="16" spans="1:12" ht="30" customHeight="1" x14ac:dyDescent="0.2">
      <c r="A16" s="20">
        <v>3279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3">
        <f t="shared" si="0"/>
        <v>0</v>
      </c>
    </row>
    <row r="17" spans="1:12" ht="30" customHeight="1" x14ac:dyDescent="0.2">
      <c r="A17" s="20">
        <v>3360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3">
        <f t="shared" si="0"/>
        <v>0</v>
      </c>
    </row>
    <row r="18" spans="1:12" ht="30" customHeight="1" x14ac:dyDescent="0.2">
      <c r="A18" s="20">
        <v>3466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3">
        <f t="shared" si="0"/>
        <v>0</v>
      </c>
    </row>
    <row r="19" spans="1:12" ht="30" customHeight="1" x14ac:dyDescent="0.2">
      <c r="A19" s="20">
        <v>3474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3">
        <f t="shared" si="0"/>
        <v>0</v>
      </c>
    </row>
    <row r="20" spans="1:12" ht="30" customHeight="1" x14ac:dyDescent="0.2">
      <c r="A20" s="20">
        <v>3481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3">
        <f t="shared" si="0"/>
        <v>0</v>
      </c>
    </row>
    <row r="21" spans="1:12" ht="30" customHeight="1" x14ac:dyDescent="0.2">
      <c r="A21" s="20">
        <v>4218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3">
        <f t="shared" si="0"/>
        <v>0</v>
      </c>
    </row>
    <row r="22" spans="1:12" ht="30" customHeight="1" x14ac:dyDescent="0.2">
      <c r="A22" s="20">
        <v>4365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3">
        <f t="shared" si="0"/>
        <v>0</v>
      </c>
    </row>
    <row r="23" spans="1:12" ht="30" customHeight="1" x14ac:dyDescent="0.2">
      <c r="A23" s="20">
        <v>4367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3">
        <f t="shared" si="0"/>
        <v>0</v>
      </c>
    </row>
    <row r="24" spans="1:12" ht="30" customHeight="1" x14ac:dyDescent="0.2">
      <c r="A24" s="20">
        <v>4434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3">
        <f t="shared" si="0"/>
        <v>0</v>
      </c>
    </row>
    <row r="25" spans="1:12" ht="30" customHeight="1" x14ac:dyDescent="0.2">
      <c r="A25" s="20">
        <v>4449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3">
        <f t="shared" si="0"/>
        <v>0</v>
      </c>
    </row>
    <row r="26" spans="1:12" ht="19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30" customHeight="1" x14ac:dyDescent="0.2">
      <c r="A27" s="5" t="s">
        <v>9</v>
      </c>
      <c r="B27" s="12">
        <v>10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3">
        <v>1</v>
      </c>
    </row>
    <row r="28" spans="1:12" ht="30" customHeight="1" x14ac:dyDescent="0.2">
      <c r="A28" s="6" t="s">
        <v>10</v>
      </c>
      <c r="B28" s="14" t="e">
        <f>AVERAGE(B$2:B$25)</f>
        <v>#DIV/0!</v>
      </c>
      <c r="C28" s="14" t="e">
        <f>AVERAGE(C$2:C$25)</f>
        <v>#DIV/0!</v>
      </c>
      <c r="D28" s="14" t="e">
        <f t="shared" ref="D28:K28" si="1">AVERAGE(D$2:D$25)</f>
        <v>#DIV/0!</v>
      </c>
      <c r="E28" s="14" t="e">
        <f t="shared" si="1"/>
        <v>#DIV/0!</v>
      </c>
      <c r="F28" s="14" t="e">
        <f t="shared" si="1"/>
        <v>#DIV/0!</v>
      </c>
      <c r="G28" s="14" t="e">
        <f t="shared" si="1"/>
        <v>#DIV/0!</v>
      </c>
      <c r="H28" s="14" t="e">
        <f t="shared" si="1"/>
        <v>#DIV/0!</v>
      </c>
      <c r="I28" s="14" t="e">
        <f t="shared" si="1"/>
        <v>#DIV/0!</v>
      </c>
      <c r="J28" s="14" t="e">
        <f t="shared" si="1"/>
        <v>#DIV/0!</v>
      </c>
      <c r="K28" s="14" t="e">
        <f t="shared" si="1"/>
        <v>#DIV/0!</v>
      </c>
      <c r="L28" s="15" t="e">
        <f>AVERAGE(H$2:H$25)</f>
        <v>#DIV/0!</v>
      </c>
    </row>
    <row r="29" spans="1:12" ht="30" customHeight="1" x14ac:dyDescent="0.2">
      <c r="A29" s="3" t="s">
        <v>11</v>
      </c>
      <c r="B29" s="14" t="e">
        <f>STDEV(B$2:B$25)</f>
        <v>#DIV/0!</v>
      </c>
      <c r="C29" s="14" t="e">
        <f>STDEV(C$2:C$25)</f>
        <v>#DIV/0!</v>
      </c>
      <c r="D29" s="14" t="e">
        <f t="shared" ref="D29:K29" si="2">STDEV(D$2:D$25)</f>
        <v>#DIV/0!</v>
      </c>
      <c r="E29" s="14" t="e">
        <f t="shared" si="2"/>
        <v>#DIV/0!</v>
      </c>
      <c r="F29" s="14" t="e">
        <f t="shared" si="2"/>
        <v>#DIV/0!</v>
      </c>
      <c r="G29" s="14" t="e">
        <f t="shared" si="2"/>
        <v>#DIV/0!</v>
      </c>
      <c r="H29" s="14" t="e">
        <f t="shared" si="2"/>
        <v>#DIV/0!</v>
      </c>
      <c r="I29" s="14" t="e">
        <f t="shared" si="2"/>
        <v>#DIV/0!</v>
      </c>
      <c r="J29" s="14" t="e">
        <f t="shared" si="2"/>
        <v>#DIV/0!</v>
      </c>
      <c r="K29" s="14" t="e">
        <f t="shared" si="2"/>
        <v>#DIV/0!</v>
      </c>
      <c r="L29" s="15" t="e">
        <f>STDEV(H$2:H$25)</f>
        <v>#DIV/0!</v>
      </c>
    </row>
    <row r="30" spans="1:12" ht="30" customHeight="1" x14ac:dyDescent="0.2">
      <c r="A30" s="7" t="s">
        <v>12</v>
      </c>
      <c r="B30" s="14" t="e">
        <f>MEDIAN(B$2:B$25)</f>
        <v>#NUM!</v>
      </c>
      <c r="C30" s="14" t="e">
        <f>MEDIAN(C$2:C$25)</f>
        <v>#NUM!</v>
      </c>
      <c r="D30" s="14" t="e">
        <f t="shared" ref="D30:K30" si="3">MEDIAN(D$2:D$25)</f>
        <v>#NUM!</v>
      </c>
      <c r="E30" s="14" t="e">
        <f t="shared" si="3"/>
        <v>#NUM!</v>
      </c>
      <c r="F30" s="14" t="e">
        <f t="shared" si="3"/>
        <v>#NUM!</v>
      </c>
      <c r="G30" s="14" t="e">
        <f t="shared" si="3"/>
        <v>#NUM!</v>
      </c>
      <c r="H30" s="14" t="e">
        <f t="shared" si="3"/>
        <v>#NUM!</v>
      </c>
      <c r="I30" s="14" t="e">
        <f t="shared" si="3"/>
        <v>#NUM!</v>
      </c>
      <c r="J30" s="14" t="e">
        <f t="shared" si="3"/>
        <v>#NUM!</v>
      </c>
      <c r="K30" s="14" t="e">
        <f t="shared" si="3"/>
        <v>#NUM!</v>
      </c>
      <c r="L30" s="15" t="e">
        <f>MEDIAN(H$2:H$25)</f>
        <v>#NUM!</v>
      </c>
    </row>
    <row r="31" spans="1:12" ht="30" customHeight="1" x14ac:dyDescent="0.2">
      <c r="A31" s="8" t="s">
        <v>13</v>
      </c>
      <c r="B31" s="16">
        <f>IF(SUM(B2:B25)&gt;0,1,0)</f>
        <v>0</v>
      </c>
      <c r="C31" s="16">
        <f>IF(SUM(C2:C25)&gt;0,1,0)</f>
        <v>0</v>
      </c>
      <c r="D31" s="16">
        <f t="shared" ref="D31:K31" si="4">IF(SUM(D2:D25)&gt;0,1,0)</f>
        <v>0</v>
      </c>
      <c r="E31" s="16">
        <f t="shared" si="4"/>
        <v>0</v>
      </c>
      <c r="F31" s="16">
        <f t="shared" si="4"/>
        <v>0</v>
      </c>
      <c r="G31" s="16">
        <f t="shared" si="4"/>
        <v>0</v>
      </c>
      <c r="H31" s="16">
        <f t="shared" si="4"/>
        <v>0</v>
      </c>
      <c r="I31" s="16">
        <f t="shared" si="4"/>
        <v>0</v>
      </c>
      <c r="J31" s="16">
        <f t="shared" si="4"/>
        <v>0</v>
      </c>
      <c r="K31" s="16">
        <f t="shared" si="4"/>
        <v>0</v>
      </c>
      <c r="L31" s="16"/>
    </row>
    <row r="32" spans="1:12" ht="30" customHeight="1" x14ac:dyDescent="0.25">
      <c r="A32" s="5" t="s">
        <v>18</v>
      </c>
      <c r="B32" s="12">
        <f>B27*B31</f>
        <v>0</v>
      </c>
      <c r="C32" s="12">
        <f t="shared" ref="C32:J32" si="5">C27*C31</f>
        <v>0</v>
      </c>
      <c r="D32" s="12">
        <f t="shared" si="5"/>
        <v>0</v>
      </c>
      <c r="E32" s="12">
        <f t="shared" si="5"/>
        <v>0</v>
      </c>
      <c r="F32" s="12">
        <f t="shared" si="5"/>
        <v>0</v>
      </c>
      <c r="G32" s="12">
        <f t="shared" si="5"/>
        <v>0</v>
      </c>
      <c r="H32" s="12">
        <f t="shared" si="5"/>
        <v>0</v>
      </c>
      <c r="I32" s="12">
        <f t="shared" si="5"/>
        <v>0</v>
      </c>
      <c r="J32" s="12">
        <f t="shared" si="5"/>
        <v>0</v>
      </c>
      <c r="K32" s="13"/>
      <c r="L3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B46F-1ABB-0C49-BB3F-ACBDCBDF9981}">
  <dimension ref="A1:B31"/>
  <sheetViews>
    <sheetView workbookViewId="0">
      <selection activeCell="B31" sqref="B31"/>
    </sheetView>
  </sheetViews>
  <sheetFormatPr baseColWidth="10" defaultRowHeight="15" x14ac:dyDescent="0.2"/>
  <cols>
    <col min="1" max="1" width="19.83203125" customWidth="1"/>
    <col min="2" max="2" width="12.83203125" customWidth="1"/>
    <col min="11" max="11" width="13" bestFit="1" customWidth="1"/>
  </cols>
  <sheetData>
    <row r="1" spans="1:2" ht="30" customHeight="1" x14ac:dyDescent="0.2">
      <c r="A1" s="3" t="s">
        <v>19</v>
      </c>
      <c r="B1" s="9" t="s">
        <v>15</v>
      </c>
    </row>
    <row r="2" spans="1:2" ht="30" customHeight="1" x14ac:dyDescent="0.2">
      <c r="A2" s="18">
        <v>434</v>
      </c>
      <c r="B2" s="19"/>
    </row>
    <row r="3" spans="1:2" ht="30" customHeight="1" x14ac:dyDescent="0.2">
      <c r="A3" s="20">
        <v>1199</v>
      </c>
      <c r="B3" s="19"/>
    </row>
    <row r="4" spans="1:2" ht="30" customHeight="1" x14ac:dyDescent="0.2">
      <c r="A4" s="20">
        <v>1653</v>
      </c>
      <c r="B4" s="19"/>
    </row>
    <row r="5" spans="1:2" ht="30" customHeight="1" x14ac:dyDescent="0.2">
      <c r="A5" s="20">
        <v>1786</v>
      </c>
      <c r="B5" s="19"/>
    </row>
    <row r="6" spans="1:2" ht="30" customHeight="1" x14ac:dyDescent="0.2">
      <c r="A6" s="20">
        <v>2283</v>
      </c>
      <c r="B6" s="19"/>
    </row>
    <row r="7" spans="1:2" ht="30" customHeight="1" x14ac:dyDescent="0.2">
      <c r="A7" s="20">
        <v>2293</v>
      </c>
      <c r="B7" s="19"/>
    </row>
    <row r="8" spans="1:2" ht="30" customHeight="1" x14ac:dyDescent="0.2">
      <c r="A8" s="20">
        <v>2376</v>
      </c>
      <c r="B8" s="19"/>
    </row>
    <row r="9" spans="1:2" ht="30" customHeight="1" x14ac:dyDescent="0.2">
      <c r="A9" s="20">
        <v>2438</v>
      </c>
      <c r="B9" s="19"/>
    </row>
    <row r="10" spans="1:2" ht="30" customHeight="1" x14ac:dyDescent="0.2">
      <c r="A10" s="20">
        <v>2476</v>
      </c>
      <c r="B10" s="19"/>
    </row>
    <row r="11" spans="1:2" ht="30" customHeight="1" x14ac:dyDescent="0.2">
      <c r="A11" s="20">
        <v>2979</v>
      </c>
      <c r="B11" s="19"/>
    </row>
    <row r="12" spans="1:2" ht="30" customHeight="1" x14ac:dyDescent="0.2">
      <c r="A12" s="20">
        <v>3183</v>
      </c>
      <c r="B12" s="19"/>
    </row>
    <row r="13" spans="1:2" ht="30" customHeight="1" x14ac:dyDescent="0.2">
      <c r="A13" s="20">
        <v>3190</v>
      </c>
      <c r="B13" s="19"/>
    </row>
    <row r="14" spans="1:2" ht="30" customHeight="1" x14ac:dyDescent="0.2">
      <c r="A14" s="20">
        <v>3192</v>
      </c>
      <c r="B14" s="19"/>
    </row>
    <row r="15" spans="1:2" ht="30" customHeight="1" x14ac:dyDescent="0.2">
      <c r="A15" s="20">
        <v>3217</v>
      </c>
      <c r="B15" s="19"/>
    </row>
    <row r="16" spans="1:2" ht="30" customHeight="1" x14ac:dyDescent="0.2">
      <c r="A16" s="20">
        <v>3279</v>
      </c>
      <c r="B16" s="19"/>
    </row>
    <row r="17" spans="1:2" ht="30" customHeight="1" x14ac:dyDescent="0.2">
      <c r="A17" s="20">
        <v>3360</v>
      </c>
      <c r="B17" s="19"/>
    </row>
    <row r="18" spans="1:2" ht="30" customHeight="1" x14ac:dyDescent="0.2">
      <c r="A18" s="20">
        <v>3466</v>
      </c>
      <c r="B18" s="19"/>
    </row>
    <row r="19" spans="1:2" ht="30" customHeight="1" x14ac:dyDescent="0.2">
      <c r="A19" s="20">
        <v>3474</v>
      </c>
      <c r="B19" s="19"/>
    </row>
    <row r="20" spans="1:2" ht="30" customHeight="1" x14ac:dyDescent="0.2">
      <c r="A20" s="20">
        <v>3481</v>
      </c>
      <c r="B20" s="19"/>
    </row>
    <row r="21" spans="1:2" ht="30" customHeight="1" x14ac:dyDescent="0.2">
      <c r="A21" s="20">
        <v>4218</v>
      </c>
      <c r="B21" s="19"/>
    </row>
    <row r="22" spans="1:2" ht="30" customHeight="1" x14ac:dyDescent="0.2">
      <c r="A22" s="20">
        <v>4365</v>
      </c>
      <c r="B22" s="19"/>
    </row>
    <row r="23" spans="1:2" ht="30" customHeight="1" x14ac:dyDescent="0.2">
      <c r="A23" s="20">
        <v>4367</v>
      </c>
      <c r="B23" s="19"/>
    </row>
    <row r="24" spans="1:2" ht="30" customHeight="1" x14ac:dyDescent="0.2">
      <c r="A24" s="20">
        <v>4434</v>
      </c>
      <c r="B24" s="19"/>
    </row>
    <row r="25" spans="1:2" ht="30" customHeight="1" x14ac:dyDescent="0.2">
      <c r="A25" s="20">
        <v>4449</v>
      </c>
      <c r="B25" s="19"/>
    </row>
    <row r="26" spans="1:2" ht="19" x14ac:dyDescent="0.25">
      <c r="A26" s="17"/>
      <c r="B26" s="17"/>
    </row>
    <row r="27" spans="1:2" ht="30" customHeight="1" x14ac:dyDescent="0.2">
      <c r="A27" s="5" t="s">
        <v>9</v>
      </c>
      <c r="B27" s="12">
        <v>200</v>
      </c>
    </row>
    <row r="28" spans="1:2" ht="30" customHeight="1" x14ac:dyDescent="0.2">
      <c r="A28" s="6" t="s">
        <v>10</v>
      </c>
      <c r="B28" s="14" t="e">
        <f>AVERAGE(B$2:B$25)</f>
        <v>#DIV/0!</v>
      </c>
    </row>
    <row r="29" spans="1:2" ht="30" customHeight="1" x14ac:dyDescent="0.2">
      <c r="A29" s="3" t="s">
        <v>11</v>
      </c>
      <c r="B29" s="14" t="e">
        <f>STDEV(B$2:B$25)</f>
        <v>#DIV/0!</v>
      </c>
    </row>
    <row r="30" spans="1:2" ht="30" customHeight="1" x14ac:dyDescent="0.2">
      <c r="A30" s="7" t="s">
        <v>12</v>
      </c>
      <c r="B30" s="14" t="e">
        <f>MEDIAN(B$2:B$25)</f>
        <v>#NUM!</v>
      </c>
    </row>
    <row r="31" spans="1:2" ht="30" customHeight="1" x14ac:dyDescent="0.2">
      <c r="A31" s="8" t="s">
        <v>13</v>
      </c>
      <c r="B31" s="16">
        <f>IF(SUM(B2:B25)&gt;0,1,0)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H1" sqref="H1"/>
    </sheetView>
  </sheetViews>
  <sheetFormatPr baseColWidth="10" defaultColWidth="21.1640625" defaultRowHeight="15" x14ac:dyDescent="0.2"/>
  <cols>
    <col min="1" max="1" width="24.83203125" customWidth="1"/>
    <col min="2" max="2" width="14.83203125" customWidth="1"/>
    <col min="3" max="3" width="17.83203125" customWidth="1"/>
    <col min="4" max="5" width="15.83203125" customWidth="1"/>
    <col min="6" max="7" width="19.83203125" customWidth="1"/>
  </cols>
  <sheetData>
    <row r="1" spans="1:7" s="24" customFormat="1" ht="25" customHeight="1" x14ac:dyDescent="0.2">
      <c r="A1" s="50" t="s">
        <v>23</v>
      </c>
      <c r="B1" s="49" t="s">
        <v>14</v>
      </c>
      <c r="C1" s="49"/>
      <c r="D1" s="49"/>
      <c r="E1" s="49" t="s">
        <v>15</v>
      </c>
      <c r="F1" s="49" t="s">
        <v>16</v>
      </c>
      <c r="G1" s="51" t="s">
        <v>17</v>
      </c>
    </row>
    <row r="2" spans="1:7" s="24" customFormat="1" ht="25" customHeight="1" x14ac:dyDescent="0.2">
      <c r="A2" s="50"/>
      <c r="B2" s="9" t="s">
        <v>0</v>
      </c>
      <c r="C2" s="9" t="s">
        <v>24</v>
      </c>
      <c r="D2" s="9" t="s">
        <v>25</v>
      </c>
      <c r="E2" s="49"/>
      <c r="F2" s="49"/>
      <c r="G2" s="52"/>
    </row>
    <row r="3" spans="1:7" s="24" customFormat="1" ht="25" customHeight="1" x14ac:dyDescent="0.2">
      <c r="A3" s="18">
        <v>434</v>
      </c>
      <c r="B3" s="39">
        <f>Quizzes!K2</f>
        <v>0</v>
      </c>
      <c r="C3" s="40">
        <f>Presentations!L2</f>
        <v>0</v>
      </c>
      <c r="D3" s="43">
        <f>Reports!L2</f>
        <v>0</v>
      </c>
      <c r="E3" s="44">
        <f>(Final!B2/Final!$B$27)*$G$28</f>
        <v>0</v>
      </c>
      <c r="F3" s="45">
        <f>SUM(B3:E3)</f>
        <v>0</v>
      </c>
      <c r="G3" s="36">
        <f>0.5*INT(F3/0.5)+INT( ((F3-INT(F3/0.5)*0.5)/0.25))*0.5</f>
        <v>0</v>
      </c>
    </row>
    <row r="4" spans="1:7" s="24" customFormat="1" ht="25" customHeight="1" x14ac:dyDescent="0.2">
      <c r="A4" s="25">
        <v>1199</v>
      </c>
      <c r="B4" s="39">
        <f>Quizzes!K3</f>
        <v>1.2</v>
      </c>
      <c r="C4" s="40">
        <f>Presentations!L3</f>
        <v>0</v>
      </c>
      <c r="D4" s="43">
        <f>Reports!L3</f>
        <v>0</v>
      </c>
      <c r="E4" s="44">
        <f>(Final!B3/Final!$B$27)*$G$28</f>
        <v>0</v>
      </c>
      <c r="F4" s="45">
        <f t="shared" ref="F4:F26" si="0">SUM(B4:E4)</f>
        <v>1.2</v>
      </c>
      <c r="G4" s="36">
        <f t="shared" ref="G4:G26" si="1">0.5*INT(F4/0.5)+INT( ((F4-INT(F4/0.5)*0.5)/0.25))*0.5</f>
        <v>1</v>
      </c>
    </row>
    <row r="5" spans="1:7" s="24" customFormat="1" ht="25" customHeight="1" x14ac:dyDescent="0.2">
      <c r="A5" s="25">
        <v>1653</v>
      </c>
      <c r="B5" s="39">
        <f>Quizzes!K4</f>
        <v>1.5</v>
      </c>
      <c r="C5" s="40">
        <f>Presentations!L4</f>
        <v>0</v>
      </c>
      <c r="D5" s="43">
        <f>Reports!L4</f>
        <v>0</v>
      </c>
      <c r="E5" s="44">
        <f>(Final!B4/Final!$B$27)*$G$28</f>
        <v>0</v>
      </c>
      <c r="F5" s="45">
        <f t="shared" si="0"/>
        <v>1.5</v>
      </c>
      <c r="G5" s="36">
        <f t="shared" si="1"/>
        <v>1.5</v>
      </c>
    </row>
    <row r="6" spans="1:7" s="24" customFormat="1" ht="25" customHeight="1" x14ac:dyDescent="0.2">
      <c r="A6" s="25">
        <v>1786</v>
      </c>
      <c r="B6" s="39">
        <f>Quizzes!K5</f>
        <v>1.1000000000000001</v>
      </c>
      <c r="C6" s="40">
        <f>Presentations!L5</f>
        <v>0</v>
      </c>
      <c r="D6" s="43">
        <f>Reports!L5</f>
        <v>0</v>
      </c>
      <c r="E6" s="44">
        <f>(Final!B5/Final!$B$27)*$G$28</f>
        <v>0</v>
      </c>
      <c r="F6" s="45">
        <f t="shared" si="0"/>
        <v>1.1000000000000001</v>
      </c>
      <c r="G6" s="36">
        <f t="shared" si="1"/>
        <v>1</v>
      </c>
    </row>
    <row r="7" spans="1:7" s="24" customFormat="1" ht="25" customHeight="1" x14ac:dyDescent="0.2">
      <c r="A7" s="25">
        <v>2283</v>
      </c>
      <c r="B7" s="39">
        <f>Quizzes!K6</f>
        <v>1.3</v>
      </c>
      <c r="C7" s="40">
        <f>Presentations!L6</f>
        <v>0</v>
      </c>
      <c r="D7" s="43">
        <f>Reports!L6</f>
        <v>0</v>
      </c>
      <c r="E7" s="44">
        <f>(Final!B6/Final!$B$27)*$G$28</f>
        <v>0</v>
      </c>
      <c r="F7" s="45">
        <f t="shared" si="0"/>
        <v>1.3</v>
      </c>
      <c r="G7" s="36">
        <f t="shared" si="1"/>
        <v>1.5</v>
      </c>
    </row>
    <row r="8" spans="1:7" s="24" customFormat="1" ht="25" customHeight="1" x14ac:dyDescent="0.2">
      <c r="A8" s="25">
        <v>2293</v>
      </c>
      <c r="B8" s="39">
        <f>Quizzes!K7</f>
        <v>1.2</v>
      </c>
      <c r="C8" s="40">
        <f>Presentations!L7</f>
        <v>0</v>
      </c>
      <c r="D8" s="43">
        <f>Reports!L7</f>
        <v>0</v>
      </c>
      <c r="E8" s="44">
        <f>(Final!B7/Final!$B$27)*$G$28</f>
        <v>0</v>
      </c>
      <c r="F8" s="45">
        <f t="shared" si="0"/>
        <v>1.2</v>
      </c>
      <c r="G8" s="36">
        <f t="shared" si="1"/>
        <v>1</v>
      </c>
    </row>
    <row r="9" spans="1:7" s="24" customFormat="1" ht="25" customHeight="1" x14ac:dyDescent="0.2">
      <c r="A9" s="25">
        <v>2376</v>
      </c>
      <c r="B9" s="39">
        <f>Quizzes!K8</f>
        <v>0.8</v>
      </c>
      <c r="C9" s="40">
        <f>Presentations!L8</f>
        <v>0</v>
      </c>
      <c r="D9" s="43">
        <f>Reports!L8</f>
        <v>0</v>
      </c>
      <c r="E9" s="44">
        <f>(Final!B8/Final!$B$27)*$G$28</f>
        <v>0</v>
      </c>
      <c r="F9" s="45">
        <f t="shared" si="0"/>
        <v>0.8</v>
      </c>
      <c r="G9" s="36">
        <f t="shared" si="1"/>
        <v>1</v>
      </c>
    </row>
    <row r="10" spans="1:7" s="24" customFormat="1" ht="25" customHeight="1" x14ac:dyDescent="0.2">
      <c r="A10" s="25">
        <v>2438</v>
      </c>
      <c r="B10" s="39">
        <f>Quizzes!K9</f>
        <v>0.8</v>
      </c>
      <c r="C10" s="40">
        <f>Presentations!L9</f>
        <v>0</v>
      </c>
      <c r="D10" s="43">
        <f>Reports!L9</f>
        <v>0</v>
      </c>
      <c r="E10" s="44">
        <f>(Final!B9/Final!$B$27)*$G$28</f>
        <v>0</v>
      </c>
      <c r="F10" s="45">
        <f t="shared" si="0"/>
        <v>0.8</v>
      </c>
      <c r="G10" s="36">
        <f t="shared" si="1"/>
        <v>1</v>
      </c>
    </row>
    <row r="11" spans="1:7" s="24" customFormat="1" ht="25" customHeight="1" x14ac:dyDescent="0.2">
      <c r="A11" s="25">
        <v>2476</v>
      </c>
      <c r="B11" s="39">
        <f>Quizzes!K10</f>
        <v>1.5</v>
      </c>
      <c r="C11" s="40">
        <f>Presentations!L10</f>
        <v>0</v>
      </c>
      <c r="D11" s="43">
        <f>Reports!L10</f>
        <v>0</v>
      </c>
      <c r="E11" s="44">
        <f>(Final!B10/Final!$B$27)*$G$28</f>
        <v>0</v>
      </c>
      <c r="F11" s="45">
        <f t="shared" si="0"/>
        <v>1.5</v>
      </c>
      <c r="G11" s="36">
        <f t="shared" si="1"/>
        <v>1.5</v>
      </c>
    </row>
    <row r="12" spans="1:7" s="24" customFormat="1" ht="25" customHeight="1" x14ac:dyDescent="0.2">
      <c r="A12" s="25">
        <v>2979</v>
      </c>
      <c r="B12" s="39">
        <f>Quizzes!K11</f>
        <v>1.4</v>
      </c>
      <c r="C12" s="40">
        <f>Presentations!L11</f>
        <v>0</v>
      </c>
      <c r="D12" s="43">
        <f>Reports!L11</f>
        <v>0</v>
      </c>
      <c r="E12" s="44">
        <f>(Final!B11/Final!$B$27)*$G$28</f>
        <v>0</v>
      </c>
      <c r="F12" s="45">
        <f t="shared" si="0"/>
        <v>1.4</v>
      </c>
      <c r="G12" s="36">
        <f t="shared" si="1"/>
        <v>1.5</v>
      </c>
    </row>
    <row r="13" spans="1:7" s="24" customFormat="1" ht="25" customHeight="1" x14ac:dyDescent="0.2">
      <c r="A13" s="25">
        <v>3183</v>
      </c>
      <c r="B13" s="39">
        <f>Quizzes!K12</f>
        <v>0.4</v>
      </c>
      <c r="C13" s="40">
        <f>Presentations!L12</f>
        <v>0</v>
      </c>
      <c r="D13" s="43">
        <f>Reports!L12</f>
        <v>0</v>
      </c>
      <c r="E13" s="44">
        <f>(Final!B12/Final!$B$27)*$G$28</f>
        <v>0</v>
      </c>
      <c r="F13" s="45">
        <f t="shared" si="0"/>
        <v>0.4</v>
      </c>
      <c r="G13" s="36">
        <f t="shared" si="1"/>
        <v>0.5</v>
      </c>
    </row>
    <row r="14" spans="1:7" s="24" customFormat="1" ht="25" customHeight="1" x14ac:dyDescent="0.2">
      <c r="A14" s="25">
        <v>3190</v>
      </c>
      <c r="B14" s="39">
        <f>Quizzes!K13</f>
        <v>0.3</v>
      </c>
      <c r="C14" s="40">
        <f>Presentations!L13</f>
        <v>0</v>
      </c>
      <c r="D14" s="43">
        <f>Reports!L13</f>
        <v>0</v>
      </c>
      <c r="E14" s="44">
        <f>(Final!B13/Final!$B$27)*$G$28</f>
        <v>0</v>
      </c>
      <c r="F14" s="45">
        <f t="shared" si="0"/>
        <v>0.3</v>
      </c>
      <c r="G14" s="36">
        <f t="shared" si="1"/>
        <v>0.5</v>
      </c>
    </row>
    <row r="15" spans="1:7" s="24" customFormat="1" ht="25" customHeight="1" x14ac:dyDescent="0.2">
      <c r="A15" s="25">
        <v>3192</v>
      </c>
      <c r="B15" s="39">
        <f>Quizzes!K14</f>
        <v>1.5</v>
      </c>
      <c r="C15" s="40">
        <f>Presentations!L14</f>
        <v>0</v>
      </c>
      <c r="D15" s="43">
        <f>Reports!L14</f>
        <v>0</v>
      </c>
      <c r="E15" s="44">
        <f>(Final!B14/Final!$B$27)*$G$28</f>
        <v>0</v>
      </c>
      <c r="F15" s="45">
        <f t="shared" si="0"/>
        <v>1.5</v>
      </c>
      <c r="G15" s="36">
        <f t="shared" si="1"/>
        <v>1.5</v>
      </c>
    </row>
    <row r="16" spans="1:7" s="24" customFormat="1" ht="25" customHeight="1" x14ac:dyDescent="0.2">
      <c r="A16" s="25">
        <v>3217</v>
      </c>
      <c r="B16" s="39">
        <f>Quizzes!K15</f>
        <v>1</v>
      </c>
      <c r="C16" s="40">
        <f>Presentations!L15</f>
        <v>0</v>
      </c>
      <c r="D16" s="43">
        <f>Reports!L15</f>
        <v>0</v>
      </c>
      <c r="E16" s="44">
        <f>(Final!B15/Final!$B$27)*$G$28</f>
        <v>0</v>
      </c>
      <c r="F16" s="45">
        <f t="shared" si="0"/>
        <v>1</v>
      </c>
      <c r="G16" s="36">
        <f t="shared" si="1"/>
        <v>1</v>
      </c>
    </row>
    <row r="17" spans="1:7" s="24" customFormat="1" ht="25" customHeight="1" x14ac:dyDescent="0.2">
      <c r="A17" s="25">
        <v>3279</v>
      </c>
      <c r="B17" s="39">
        <f>Quizzes!K16</f>
        <v>0.2</v>
      </c>
      <c r="C17" s="40">
        <f>Presentations!L16</f>
        <v>0</v>
      </c>
      <c r="D17" s="43">
        <f>Reports!L16</f>
        <v>0</v>
      </c>
      <c r="E17" s="44">
        <f>(Final!B16/Final!$B$27)*$G$28</f>
        <v>0</v>
      </c>
      <c r="F17" s="45">
        <f t="shared" si="0"/>
        <v>0.2</v>
      </c>
      <c r="G17" s="36">
        <f t="shared" si="1"/>
        <v>0</v>
      </c>
    </row>
    <row r="18" spans="1:7" s="24" customFormat="1" ht="25" customHeight="1" x14ac:dyDescent="0.2">
      <c r="A18" s="25">
        <v>3360</v>
      </c>
      <c r="B18" s="39">
        <f>Quizzes!K17</f>
        <v>1.5</v>
      </c>
      <c r="C18" s="40">
        <f>Presentations!L17</f>
        <v>0</v>
      </c>
      <c r="D18" s="43">
        <f>Reports!L17</f>
        <v>0</v>
      </c>
      <c r="E18" s="44">
        <f>(Final!B17/Final!$B$27)*$G$28</f>
        <v>0</v>
      </c>
      <c r="F18" s="45">
        <f t="shared" si="0"/>
        <v>1.5</v>
      </c>
      <c r="G18" s="36">
        <f t="shared" si="1"/>
        <v>1.5</v>
      </c>
    </row>
    <row r="19" spans="1:7" s="24" customFormat="1" ht="25" customHeight="1" x14ac:dyDescent="0.2">
      <c r="A19" s="25">
        <v>3466</v>
      </c>
      <c r="B19" s="39">
        <f>Quizzes!K18</f>
        <v>1.05</v>
      </c>
      <c r="C19" s="40">
        <f>Presentations!L18</f>
        <v>0</v>
      </c>
      <c r="D19" s="43">
        <f>Reports!L18</f>
        <v>0</v>
      </c>
      <c r="E19" s="44">
        <f>(Final!B18/Final!$B$27)*$G$28</f>
        <v>0</v>
      </c>
      <c r="F19" s="45">
        <f t="shared" si="0"/>
        <v>1.05</v>
      </c>
      <c r="G19" s="36">
        <f t="shared" si="1"/>
        <v>1</v>
      </c>
    </row>
    <row r="20" spans="1:7" s="24" customFormat="1" ht="25" customHeight="1" x14ac:dyDescent="0.2">
      <c r="A20" s="25">
        <v>3474</v>
      </c>
      <c r="B20" s="39">
        <f>Quizzes!K19</f>
        <v>0</v>
      </c>
      <c r="C20" s="40">
        <f>Presentations!L19</f>
        <v>0</v>
      </c>
      <c r="D20" s="43">
        <f>Reports!L19</f>
        <v>0</v>
      </c>
      <c r="E20" s="44">
        <f>(Final!B19/Final!$B$27)*$G$28</f>
        <v>0</v>
      </c>
      <c r="F20" s="45">
        <f t="shared" si="0"/>
        <v>0</v>
      </c>
      <c r="G20" s="36">
        <f t="shared" si="1"/>
        <v>0</v>
      </c>
    </row>
    <row r="21" spans="1:7" s="24" customFormat="1" ht="25" customHeight="1" x14ac:dyDescent="0.2">
      <c r="A21" s="25">
        <v>3481</v>
      </c>
      <c r="B21" s="39">
        <f>Quizzes!K20</f>
        <v>0.3</v>
      </c>
      <c r="C21" s="40">
        <f>Presentations!L20</f>
        <v>0</v>
      </c>
      <c r="D21" s="43">
        <f>Reports!L20</f>
        <v>0</v>
      </c>
      <c r="E21" s="44">
        <f>(Final!B20/Final!$B$27)*$G$28</f>
        <v>0</v>
      </c>
      <c r="F21" s="45">
        <f t="shared" si="0"/>
        <v>0.3</v>
      </c>
      <c r="G21" s="36">
        <f t="shared" si="1"/>
        <v>0.5</v>
      </c>
    </row>
    <row r="22" spans="1:7" s="24" customFormat="1" ht="25" customHeight="1" x14ac:dyDescent="0.2">
      <c r="A22" s="25">
        <v>4218</v>
      </c>
      <c r="B22" s="39">
        <f>Quizzes!K21</f>
        <v>0.5</v>
      </c>
      <c r="C22" s="40">
        <f>Presentations!L21</f>
        <v>0</v>
      </c>
      <c r="D22" s="43">
        <f>Reports!L21</f>
        <v>0</v>
      </c>
      <c r="E22" s="44">
        <f>(Final!B21/Final!$B$27)*$G$28</f>
        <v>0</v>
      </c>
      <c r="F22" s="45">
        <f t="shared" si="0"/>
        <v>0.5</v>
      </c>
      <c r="G22" s="36">
        <f t="shared" si="1"/>
        <v>0.5</v>
      </c>
    </row>
    <row r="23" spans="1:7" s="24" customFormat="1" ht="25" customHeight="1" x14ac:dyDescent="0.2">
      <c r="A23" s="25">
        <v>4365</v>
      </c>
      <c r="B23" s="39">
        <f>Quizzes!K22</f>
        <v>0.8</v>
      </c>
      <c r="C23" s="40">
        <f>Presentations!L22</f>
        <v>0</v>
      </c>
      <c r="D23" s="43">
        <f>Reports!L22</f>
        <v>0</v>
      </c>
      <c r="E23" s="44">
        <f>(Final!B22/Final!$B$27)*$G$28</f>
        <v>0</v>
      </c>
      <c r="F23" s="45">
        <f t="shared" si="0"/>
        <v>0.8</v>
      </c>
      <c r="G23" s="36">
        <f t="shared" si="1"/>
        <v>1</v>
      </c>
    </row>
    <row r="24" spans="1:7" s="24" customFormat="1" ht="25" customHeight="1" x14ac:dyDescent="0.2">
      <c r="A24" s="25">
        <v>4367</v>
      </c>
      <c r="B24" s="39">
        <f>Quizzes!K23</f>
        <v>0.2</v>
      </c>
      <c r="C24" s="40">
        <f>Presentations!L23</f>
        <v>0</v>
      </c>
      <c r="D24" s="43">
        <f>Reports!L23</f>
        <v>0</v>
      </c>
      <c r="E24" s="44">
        <f>(Final!B23/Final!$B$27)*$G$28</f>
        <v>0</v>
      </c>
      <c r="F24" s="45">
        <f t="shared" si="0"/>
        <v>0.2</v>
      </c>
      <c r="G24" s="36">
        <f t="shared" si="1"/>
        <v>0</v>
      </c>
    </row>
    <row r="25" spans="1:7" s="24" customFormat="1" ht="25" customHeight="1" x14ac:dyDescent="0.2">
      <c r="A25" s="25">
        <v>4434</v>
      </c>
      <c r="B25" s="39">
        <f>Quizzes!K24</f>
        <v>1.1000000000000001</v>
      </c>
      <c r="C25" s="40">
        <f>Presentations!L24</f>
        <v>0</v>
      </c>
      <c r="D25" s="43">
        <f>Reports!L24</f>
        <v>0</v>
      </c>
      <c r="E25" s="44">
        <f>(Final!B24/Final!$B$27)*$G$28</f>
        <v>0</v>
      </c>
      <c r="F25" s="45">
        <f t="shared" si="0"/>
        <v>1.1000000000000001</v>
      </c>
      <c r="G25" s="36">
        <f t="shared" si="1"/>
        <v>1</v>
      </c>
    </row>
    <row r="26" spans="1:7" s="24" customFormat="1" ht="25" customHeight="1" x14ac:dyDescent="0.2">
      <c r="A26" s="25">
        <v>4449</v>
      </c>
      <c r="B26" s="39">
        <f>Quizzes!K25</f>
        <v>1.5</v>
      </c>
      <c r="C26" s="40">
        <f>Presentations!L25</f>
        <v>0</v>
      </c>
      <c r="D26" s="43">
        <f>Reports!L25</f>
        <v>0</v>
      </c>
      <c r="E26" s="44">
        <f>(Final!B25/Final!$B$27)*$G$28</f>
        <v>0</v>
      </c>
      <c r="F26" s="45">
        <f t="shared" si="0"/>
        <v>1.5</v>
      </c>
      <c r="G26" s="36">
        <f t="shared" si="1"/>
        <v>1.5</v>
      </c>
    </row>
    <row r="27" spans="1:7" x14ac:dyDescent="0.2">
      <c r="A27" s="1"/>
      <c r="B27" s="48"/>
      <c r="C27" s="48"/>
      <c r="D27" s="48"/>
      <c r="E27" s="48"/>
      <c r="F27" s="48"/>
      <c r="G27" s="48"/>
    </row>
    <row r="28" spans="1:7" ht="30" customHeight="1" x14ac:dyDescent="0.2">
      <c r="A28" s="26" t="s">
        <v>26</v>
      </c>
      <c r="B28" s="32">
        <f>Quizzes!K27</f>
        <v>1.5</v>
      </c>
      <c r="C28" s="41">
        <f>Presentations!L27</f>
        <v>1.5</v>
      </c>
      <c r="D28" s="31">
        <f>Reports!L27</f>
        <v>1</v>
      </c>
      <c r="E28" s="30">
        <f>10-SUM($B$28:$D$28)</f>
        <v>6</v>
      </c>
      <c r="F28" s="46">
        <v>10</v>
      </c>
      <c r="G28" s="37">
        <v>10</v>
      </c>
    </row>
    <row r="29" spans="1:7" ht="30" customHeight="1" x14ac:dyDescent="0.2">
      <c r="A29" s="27" t="s">
        <v>27</v>
      </c>
      <c r="B29" s="35">
        <f>AVERAGE(B$3:B$26)</f>
        <v>0.88125000000000009</v>
      </c>
      <c r="C29" s="42">
        <f t="shared" ref="C29:G29" si="2">AVERAGE(C$3:C$26)</f>
        <v>0</v>
      </c>
      <c r="D29" s="34">
        <f t="shared" si="2"/>
        <v>0</v>
      </c>
      <c r="E29" s="33">
        <f t="shared" si="2"/>
        <v>0</v>
      </c>
      <c r="F29" s="47">
        <f t="shared" si="2"/>
        <v>0.88125000000000009</v>
      </c>
      <c r="G29" s="38">
        <f t="shared" si="2"/>
        <v>0.89583333333333337</v>
      </c>
    </row>
    <row r="30" spans="1:7" ht="30" customHeight="1" x14ac:dyDescent="0.2">
      <c r="A30" s="28" t="s">
        <v>28</v>
      </c>
      <c r="B30" s="35">
        <f>STDEV(B$3:B$26)</f>
        <v>0.52145542558263314</v>
      </c>
      <c r="C30" s="42">
        <f t="shared" ref="C30:G30" si="3">STDEV(C$3:C$26)</f>
        <v>0</v>
      </c>
      <c r="D30" s="34">
        <f t="shared" si="3"/>
        <v>0</v>
      </c>
      <c r="E30" s="33">
        <f t="shared" si="3"/>
        <v>0</v>
      </c>
      <c r="F30" s="47">
        <f t="shared" si="3"/>
        <v>0.52145542558263314</v>
      </c>
      <c r="G30" s="38">
        <f t="shared" si="3"/>
        <v>0.53118339309644202</v>
      </c>
    </row>
    <row r="31" spans="1:7" ht="30" customHeight="1" x14ac:dyDescent="0.2">
      <c r="A31" s="29" t="s">
        <v>29</v>
      </c>
      <c r="B31" s="35">
        <f>MEDIAN(B$3:B$26)</f>
        <v>1.0249999999999999</v>
      </c>
      <c r="C31" s="42">
        <f t="shared" ref="C31:G31" si="4">MEDIAN(C$3:C$26)</f>
        <v>0</v>
      </c>
      <c r="D31" s="34">
        <f t="shared" si="4"/>
        <v>0</v>
      </c>
      <c r="E31" s="33">
        <f t="shared" si="4"/>
        <v>0</v>
      </c>
      <c r="F31" s="47">
        <f t="shared" si="4"/>
        <v>1.0249999999999999</v>
      </c>
      <c r="G31" s="38">
        <f t="shared" si="4"/>
        <v>1</v>
      </c>
    </row>
    <row r="32" spans="1:7" ht="30" customHeight="1" x14ac:dyDescent="0.2"/>
    <row r="33" customFormat="1" ht="30" customHeight="1" x14ac:dyDescent="0.2"/>
    <row r="34" customFormat="1" ht="30" customHeight="1" x14ac:dyDescent="0.2"/>
    <row r="35" customFormat="1" ht="30" customHeight="1" x14ac:dyDescent="0.2"/>
    <row r="36" customFormat="1" ht="30" customHeight="1" x14ac:dyDescent="0.2"/>
    <row r="37" customFormat="1" ht="30" customHeight="1" x14ac:dyDescent="0.2"/>
    <row r="38" customFormat="1" ht="30" customHeight="1" x14ac:dyDescent="0.2"/>
    <row r="39" customFormat="1" ht="30" customHeight="1" x14ac:dyDescent="0.2"/>
    <row r="40" customFormat="1" ht="30" customHeight="1" x14ac:dyDescent="0.2"/>
  </sheetData>
  <mergeCells count="5">
    <mergeCell ref="B1:D1"/>
    <mergeCell ref="A1:A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Quizzes</vt:lpstr>
      <vt:lpstr>Presentations</vt:lpstr>
      <vt:lpstr>Reports</vt:lpstr>
      <vt:lpstr>Final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Fotis Fotis</cp:lastModifiedBy>
  <dcterms:created xsi:type="dcterms:W3CDTF">2026-09-05T13:12:24Z</dcterms:created>
  <dcterms:modified xsi:type="dcterms:W3CDTF">2026-10-05T10:31:58Z</dcterms:modified>
</cp:coreProperties>
</file>