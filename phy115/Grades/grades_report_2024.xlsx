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date1904="1" showInkAnnotation="0" autoCompressPictures="0"/>
  <bookViews>
    <workbookView xWindow="3060" yWindow="8320" windowWidth="31920" windowHeight="12280" tabRatio="947" activeTab="1"/>
  </bookViews>
  <sheets>
    <sheet name="Grades" sheetId="4" r:id="rId1"/>
    <sheet name="Labs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8" i="1" l="1"/>
  <c r="G28" i="1"/>
  <c r="J28" i="1"/>
  <c r="Y28" i="1"/>
  <c r="V28" i="1"/>
  <c r="M28" i="1"/>
  <c r="P28" i="1"/>
  <c r="S28" i="1"/>
  <c r="AB28" i="1"/>
  <c r="AE28" i="1"/>
  <c r="AH28" i="1"/>
  <c r="AH26" i="1"/>
  <c r="D26" i="4"/>
  <c r="L28" i="1"/>
  <c r="O28" i="1"/>
  <c r="R28" i="1"/>
  <c r="U28" i="1"/>
  <c r="AD28" i="1"/>
  <c r="AA28" i="1"/>
  <c r="X28" i="1"/>
  <c r="F28" i="1"/>
  <c r="I28" i="1"/>
  <c r="AG28" i="1"/>
  <c r="AG26" i="1"/>
  <c r="C26" i="4"/>
  <c r="K28" i="1"/>
  <c r="H28" i="1"/>
  <c r="E28" i="1"/>
  <c r="N28" i="1"/>
  <c r="Q28" i="1"/>
  <c r="T28" i="1"/>
  <c r="W28" i="1"/>
  <c r="Z28" i="1"/>
  <c r="AC28" i="1"/>
  <c r="B28" i="1"/>
  <c r="AF28" i="1"/>
  <c r="AF26" i="1"/>
  <c r="B26" i="4"/>
  <c r="AH25" i="1"/>
  <c r="D25" i="4"/>
  <c r="AG25" i="1"/>
  <c r="C25" i="4"/>
  <c r="AF25" i="1"/>
  <c r="B25" i="4"/>
  <c r="AH24" i="1"/>
  <c r="D24" i="4"/>
  <c r="AG24" i="1"/>
  <c r="C24" i="4"/>
  <c r="AF24" i="1"/>
  <c r="B24" i="4"/>
  <c r="AH23" i="1"/>
  <c r="D23" i="4"/>
  <c r="AG23" i="1"/>
  <c r="C23" i="4"/>
  <c r="AF23" i="1"/>
  <c r="B23" i="4"/>
  <c r="AH22" i="1"/>
  <c r="D22" i="4"/>
  <c r="AG22" i="1"/>
  <c r="C22" i="4"/>
  <c r="AF22" i="1"/>
  <c r="B22" i="4"/>
  <c r="AH21" i="1"/>
  <c r="D21" i="4"/>
  <c r="AG21" i="1"/>
  <c r="C21" i="4"/>
  <c r="AF21" i="1"/>
  <c r="B21" i="4"/>
  <c r="AH20" i="1"/>
  <c r="D20" i="4"/>
  <c r="AG20" i="1"/>
  <c r="C20" i="4"/>
  <c r="AF20" i="1"/>
  <c r="B20" i="4"/>
  <c r="AH19" i="1"/>
  <c r="D19" i="4"/>
  <c r="AG19" i="1"/>
  <c r="C19" i="4"/>
  <c r="AF19" i="1"/>
  <c r="B19" i="4"/>
  <c r="AH18" i="1"/>
  <c r="D18" i="4"/>
  <c r="AG18" i="1"/>
  <c r="C18" i="4"/>
  <c r="AF18" i="1"/>
  <c r="B18" i="4"/>
  <c r="AH17" i="1"/>
  <c r="D17" i="4"/>
  <c r="AG17" i="1"/>
  <c r="C17" i="4"/>
  <c r="AF17" i="1"/>
  <c r="B17" i="4"/>
  <c r="AH16" i="1"/>
  <c r="D16" i="4"/>
  <c r="AG16" i="1"/>
  <c r="C16" i="4"/>
  <c r="AF16" i="1"/>
  <c r="B16" i="4"/>
  <c r="AH15" i="1"/>
  <c r="D15" i="4"/>
  <c r="AG15" i="1"/>
  <c r="C15" i="4"/>
  <c r="AF15" i="1"/>
  <c r="B15" i="4"/>
  <c r="AH14" i="1"/>
  <c r="D14" i="4"/>
  <c r="AG14" i="1"/>
  <c r="C14" i="4"/>
  <c r="AF14" i="1"/>
  <c r="B14" i="4"/>
  <c r="AH13" i="1"/>
  <c r="D13" i="4"/>
  <c r="AG13" i="1"/>
  <c r="C13" i="4"/>
  <c r="AF13" i="1"/>
  <c r="B13" i="4"/>
  <c r="AH12" i="1"/>
  <c r="D12" i="4"/>
  <c r="AG12" i="1"/>
  <c r="C12" i="4"/>
  <c r="AF12" i="1"/>
  <c r="B12" i="4"/>
  <c r="AH11" i="1"/>
  <c r="D11" i="4"/>
  <c r="AG11" i="1"/>
  <c r="C11" i="4"/>
  <c r="AF11" i="1"/>
  <c r="B11" i="4"/>
  <c r="AH10" i="1"/>
  <c r="D10" i="4"/>
  <c r="AG10" i="1"/>
  <c r="C10" i="4"/>
  <c r="AF10" i="1"/>
  <c r="B10" i="4"/>
  <c r="AH9" i="1"/>
  <c r="D9" i="4"/>
  <c r="AG9" i="1"/>
  <c r="C9" i="4"/>
  <c r="AF9" i="1"/>
  <c r="B9" i="4"/>
  <c r="AH8" i="1"/>
  <c r="D8" i="4"/>
  <c r="AG8" i="1"/>
  <c r="C8" i="4"/>
  <c r="AF8" i="1"/>
  <c r="B8" i="4"/>
  <c r="AH7" i="1"/>
  <c r="D7" i="4"/>
  <c r="AG7" i="1"/>
  <c r="C7" i="4"/>
  <c r="AF7" i="1"/>
  <c r="B7" i="4"/>
  <c r="AH6" i="1"/>
  <c r="D6" i="4"/>
  <c r="AG6" i="1"/>
  <c r="C6" i="4"/>
  <c r="AF6" i="1"/>
  <c r="B6" i="4"/>
  <c r="AH5" i="1"/>
  <c r="D5" i="4"/>
  <c r="AG5" i="1"/>
  <c r="C5" i="4"/>
  <c r="AF5" i="1"/>
  <c r="B5" i="4"/>
  <c r="AH4" i="1"/>
  <c r="D4" i="4"/>
  <c r="AG4" i="1"/>
  <c r="C4" i="4"/>
  <c r="AF4" i="1"/>
  <c r="B4" i="4"/>
  <c r="AF3" i="1"/>
  <c r="B3" i="4"/>
  <c r="AH3" i="1"/>
  <c r="D3" i="4"/>
  <c r="AG3" i="1"/>
  <c r="C3" i="4"/>
  <c r="G14" i="4"/>
  <c r="G5" i="4"/>
  <c r="G10" i="4"/>
  <c r="G9" i="4"/>
  <c r="G3" i="4"/>
  <c r="G23" i="4"/>
  <c r="G20" i="4"/>
  <c r="G25" i="4"/>
  <c r="G13" i="4"/>
  <c r="G12" i="4"/>
  <c r="G19" i="4"/>
  <c r="G17" i="4"/>
  <c r="G6" i="4"/>
  <c r="G21" i="4"/>
  <c r="G24" i="4"/>
  <c r="G15" i="4"/>
  <c r="G8" i="4"/>
  <c r="G18" i="4"/>
  <c r="G26" i="4"/>
  <c r="G22" i="4"/>
  <c r="G4" i="4"/>
  <c r="G16" i="4"/>
  <c r="G11" i="4"/>
  <c r="G7" i="4"/>
  <c r="H14" i="4"/>
  <c r="H5" i="4"/>
  <c r="H10" i="4"/>
  <c r="H9" i="4"/>
  <c r="H3" i="4"/>
  <c r="H23" i="4"/>
  <c r="H20" i="4"/>
  <c r="H25" i="4"/>
  <c r="H13" i="4"/>
  <c r="H12" i="4"/>
  <c r="H19" i="4"/>
  <c r="H17" i="4"/>
  <c r="H6" i="4"/>
  <c r="H21" i="4"/>
  <c r="H24" i="4"/>
  <c r="H15" i="4"/>
  <c r="H8" i="4"/>
  <c r="H18" i="4"/>
  <c r="H26" i="4"/>
  <c r="H22" i="4"/>
  <c r="H4" i="4"/>
  <c r="H16" i="4"/>
  <c r="H11" i="4"/>
  <c r="B28" i="4"/>
  <c r="Q29" i="1"/>
  <c r="Q30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F31" i="4"/>
  <c r="F30" i="4"/>
  <c r="F29" i="4"/>
  <c r="E30" i="4"/>
  <c r="E29" i="4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31" i="1"/>
  <c r="B30" i="1"/>
  <c r="B29" i="1"/>
  <c r="E31" i="4"/>
  <c r="D31" i="4"/>
  <c r="D30" i="4"/>
  <c r="AH31" i="1"/>
  <c r="D28" i="4"/>
  <c r="D29" i="4"/>
  <c r="AH30" i="1"/>
  <c r="C28" i="4"/>
  <c r="AH29" i="1"/>
  <c r="AG30" i="1"/>
  <c r="AG29" i="1"/>
  <c r="AG31" i="1"/>
  <c r="C31" i="4"/>
  <c r="C30" i="4"/>
  <c r="C29" i="4"/>
  <c r="AF30" i="1"/>
  <c r="AF29" i="1"/>
  <c r="AF31" i="1"/>
  <c r="B31" i="4"/>
  <c r="B30" i="4"/>
  <c r="B29" i="4"/>
  <c r="G31" i="4"/>
  <c r="H7" i="4"/>
  <c r="G29" i="4"/>
  <c r="G30" i="4"/>
  <c r="H29" i="4"/>
  <c r="H30" i="4"/>
  <c r="H31" i="4"/>
</calcChain>
</file>

<file path=xl/sharedStrings.xml><?xml version="1.0" encoding="utf-8"?>
<sst xmlns="http://schemas.openxmlformats.org/spreadsheetml/2006/main" count="71" uniqueCount="29">
  <si>
    <t>Talk</t>
    <phoneticPr fontId="1" type="noConversion"/>
  </si>
  <si>
    <t>Average</t>
    <phoneticPr fontId="1" type="noConversion"/>
  </si>
  <si>
    <t>Stnd</t>
    <phoneticPr fontId="1" type="noConversion"/>
  </si>
  <si>
    <t>Median</t>
    <phoneticPr fontId="1" type="noConversion"/>
  </si>
  <si>
    <t>Max Score</t>
    <phoneticPr fontId="1" type="noConversion"/>
  </si>
  <si>
    <t>Τελικός βαθμός</t>
    <phoneticPr fontId="1" type="noConversion"/>
  </si>
  <si>
    <t>Γενικός βαθμός</t>
    <phoneticPr fontId="1" type="noConversion"/>
  </si>
  <si>
    <t>Lab 1</t>
    <phoneticPr fontId="1" type="noConversion"/>
  </si>
  <si>
    <t>Lab 2</t>
    <phoneticPr fontId="1" type="noConversion"/>
  </si>
  <si>
    <t>Lab 3</t>
    <phoneticPr fontId="1" type="noConversion"/>
  </si>
  <si>
    <t>Lab 4</t>
    <phoneticPr fontId="1" type="noConversion"/>
  </si>
  <si>
    <t>Lab 5</t>
    <phoneticPr fontId="1" type="noConversion"/>
  </si>
  <si>
    <t>Quiz</t>
    <phoneticPr fontId="1" type="noConversion"/>
  </si>
  <si>
    <t>Report</t>
    <phoneticPr fontId="1" type="noConversion"/>
  </si>
  <si>
    <t>Quiz</t>
    <phoneticPr fontId="1" type="noConversion"/>
  </si>
  <si>
    <t>Lab 6</t>
    <phoneticPr fontId="1" type="noConversion"/>
  </si>
  <si>
    <t>Lab 7</t>
    <phoneticPr fontId="1" type="noConversion"/>
  </si>
  <si>
    <t>Lab 8</t>
    <phoneticPr fontId="1" type="noConversion"/>
  </si>
  <si>
    <t>Lab 9</t>
    <phoneticPr fontId="1" type="noConversion"/>
  </si>
  <si>
    <t>Lab 10</t>
    <phoneticPr fontId="1" type="noConversion"/>
  </si>
  <si>
    <t>Lab Total</t>
    <phoneticPr fontId="1" type="noConversion"/>
  </si>
  <si>
    <t xml:space="preserve">Τελική </t>
    <phoneticPr fontId="1" type="noConversion"/>
  </si>
  <si>
    <t>Ταυτότητα</t>
    <phoneticPr fontId="1" type="noConversion"/>
  </si>
  <si>
    <t>Exam</t>
  </si>
  <si>
    <t>Lab</t>
  </si>
  <si>
    <t>0063</t>
  </si>
  <si>
    <t>0923</t>
  </si>
  <si>
    <t>0851</t>
  </si>
  <si>
    <t>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</si>
</sst>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Verdana"/>
    </font>
    <font>
      <sz val="8"/>
      <name val="Verdana"/>
    </font>
    <font>
      <sz val="12"/>
      <name val="Arial"/>
    </font>
    <font>
      <sz val="11"/>
      <name val="Verdana"/>
    </font>
    <font>
      <sz val="14"/>
      <name val="Arial"/>
    </font>
    <font>
      <b/>
      <sz val="14"/>
      <name val="Arial"/>
    </font>
    <font>
      <b/>
      <sz val="12"/>
      <name val="Verdana"/>
    </font>
    <font>
      <b/>
      <sz val="12"/>
      <color indexed="48"/>
      <name val="Verdana"/>
    </font>
    <font>
      <b/>
      <sz val="12"/>
      <color indexed="19"/>
      <name val="Verdana"/>
    </font>
    <font>
      <b/>
      <sz val="14"/>
      <color indexed="12"/>
      <name val="Arial"/>
    </font>
    <font>
      <u/>
      <sz val="10"/>
      <color theme="10"/>
      <name val="Verdana"/>
    </font>
    <font>
      <u/>
      <sz val="10"/>
      <color theme="11"/>
      <name val="Verdana"/>
    </font>
    <font>
      <sz val="13"/>
      <color rgb="FF000000"/>
      <name val="Verdana"/>
    </font>
    <font>
      <sz val="13"/>
      <name val="Verdana"/>
    </font>
    <font>
      <sz val="14"/>
      <color rgb="FFFF000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45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16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Fill="1" applyBorder="1"/>
    <xf numFmtId="1" fontId="2" fillId="0" borderId="7" xfId="0" applyNumberFormat="1" applyFont="1" applyBorder="1"/>
    <xf numFmtId="0" fontId="0" fillId="0" borderId="8" xfId="0" applyBorder="1"/>
    <xf numFmtId="2" fontId="4" fillId="7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I1" sqref="I1"/>
    </sheetView>
  </sheetViews>
  <sheetFormatPr baseColWidth="10" defaultColWidth="11" defaultRowHeight="13" x14ac:dyDescent="0"/>
  <cols>
    <col min="1" max="1" width="16.7109375" customWidth="1"/>
    <col min="7" max="7" width="17.42578125" customWidth="1"/>
    <col min="8" max="8" width="16.85546875" customWidth="1"/>
    <col min="9" max="9" width="16.7109375" customWidth="1"/>
    <col min="11" max="11" width="11.28515625" bestFit="1" customWidth="1"/>
  </cols>
  <sheetData>
    <row r="1" spans="1:8" ht="25" customHeight="1">
      <c r="A1" s="46" t="s">
        <v>22</v>
      </c>
      <c r="B1" s="48" t="s">
        <v>20</v>
      </c>
      <c r="C1" s="49"/>
      <c r="D1" s="50"/>
      <c r="E1" s="48" t="s">
        <v>21</v>
      </c>
      <c r="F1" s="50"/>
      <c r="G1" s="51" t="s">
        <v>6</v>
      </c>
      <c r="H1" s="44" t="s">
        <v>5</v>
      </c>
    </row>
    <row r="2" spans="1:8" ht="25" customHeight="1">
      <c r="A2" s="47"/>
      <c r="B2" s="19" t="s">
        <v>12</v>
      </c>
      <c r="C2" s="14" t="s">
        <v>0</v>
      </c>
      <c r="D2" s="20" t="s">
        <v>13</v>
      </c>
      <c r="E2" s="13" t="s">
        <v>24</v>
      </c>
      <c r="F2" s="12" t="s">
        <v>23</v>
      </c>
      <c r="G2" s="52"/>
      <c r="H2" s="45"/>
    </row>
    <row r="3" spans="1:8" ht="25" customHeight="1">
      <c r="A3" s="39" t="s">
        <v>25</v>
      </c>
      <c r="B3" s="34">
        <f>Labs!AF3</f>
        <v>0.54</v>
      </c>
      <c r="C3" s="35">
        <f>Labs!AG3</f>
        <v>1.0349999999999999</v>
      </c>
      <c r="D3" s="36">
        <f>Labs!AH3</f>
        <v>0.97650000000000003</v>
      </c>
      <c r="E3" s="17"/>
      <c r="F3" s="18"/>
      <c r="G3" s="16">
        <f t="shared" ref="G3:G26" si="0">B3+(C3+D3)+(E3/E$28+F3/F$28)*2.75</f>
        <v>2.5514999999999999</v>
      </c>
      <c r="H3" s="21">
        <f t="shared" ref="H3:H26" si="1">0.5*INT(G3/0.5)+INT( ((G3-INT(G3/0.5)*0.5)/0.25))*0.5</f>
        <v>2.5</v>
      </c>
    </row>
    <row r="4" spans="1:8" ht="25" customHeight="1">
      <c r="A4" s="39" t="s">
        <v>28</v>
      </c>
      <c r="B4" s="34">
        <f>Labs!AF4</f>
        <v>0.95250000000000001</v>
      </c>
      <c r="C4" s="35">
        <f>Labs!AG4</f>
        <v>1.335</v>
      </c>
      <c r="D4" s="36">
        <f>Labs!AH4</f>
        <v>1.3560000000000003</v>
      </c>
      <c r="E4" s="17"/>
      <c r="F4" s="18"/>
      <c r="G4" s="16">
        <f t="shared" si="0"/>
        <v>3.6435000000000004</v>
      </c>
      <c r="H4" s="21">
        <f t="shared" si="1"/>
        <v>3.5</v>
      </c>
    </row>
    <row r="5" spans="1:8" ht="25" customHeight="1">
      <c r="A5" s="40" t="s">
        <v>27</v>
      </c>
      <c r="B5" s="34">
        <f>Labs!AF5</f>
        <v>1.05</v>
      </c>
      <c r="C5" s="35">
        <f>Labs!AG5</f>
        <v>1.2675000000000001</v>
      </c>
      <c r="D5" s="36">
        <f>Labs!AH5</f>
        <v>1.2330000000000003</v>
      </c>
      <c r="E5" s="17"/>
      <c r="F5" s="18"/>
      <c r="G5" s="16">
        <f t="shared" si="0"/>
        <v>3.5505000000000004</v>
      </c>
      <c r="H5" s="21">
        <f t="shared" si="1"/>
        <v>3.5</v>
      </c>
    </row>
    <row r="6" spans="1:8" ht="25" customHeight="1">
      <c r="A6" s="39" t="s">
        <v>26</v>
      </c>
      <c r="B6" s="34">
        <f>Labs!AF6</f>
        <v>1.095</v>
      </c>
      <c r="C6" s="35">
        <f>Labs!AG6</f>
        <v>1.1475</v>
      </c>
      <c r="D6" s="36">
        <f>Labs!AH6</f>
        <v>1.1415</v>
      </c>
      <c r="E6" s="17"/>
      <c r="F6" s="18"/>
      <c r="G6" s="16">
        <f t="shared" si="0"/>
        <v>3.3839999999999995</v>
      </c>
      <c r="H6" s="21">
        <f t="shared" si="1"/>
        <v>3.5</v>
      </c>
    </row>
    <row r="7" spans="1:8" ht="25" customHeight="1">
      <c r="A7" s="38">
        <v>1019</v>
      </c>
      <c r="B7" s="34">
        <f>Labs!AF7</f>
        <v>1.1850000000000001</v>
      </c>
      <c r="C7" s="35">
        <f>Labs!AG7</f>
        <v>1.3125</v>
      </c>
      <c r="D7" s="36">
        <f>Labs!AH7</f>
        <v>1.2105000000000001</v>
      </c>
      <c r="E7" s="17"/>
      <c r="F7" s="18"/>
      <c r="G7" s="16">
        <f t="shared" si="0"/>
        <v>3.7080000000000002</v>
      </c>
      <c r="H7" s="21">
        <f t="shared" si="1"/>
        <v>3.5</v>
      </c>
    </row>
    <row r="8" spans="1:8" ht="25" customHeight="1">
      <c r="A8" s="37">
        <v>1536</v>
      </c>
      <c r="B8" s="34">
        <f>Labs!AF8</f>
        <v>1.17</v>
      </c>
      <c r="C8" s="35">
        <f>Labs!AG8</f>
        <v>1.2675000000000001</v>
      </c>
      <c r="D8" s="36">
        <f>Labs!AH8</f>
        <v>1.2330000000000003</v>
      </c>
      <c r="E8" s="17"/>
      <c r="F8" s="18"/>
      <c r="G8" s="16">
        <f t="shared" si="0"/>
        <v>3.6705000000000005</v>
      </c>
      <c r="H8" s="21">
        <f t="shared" si="1"/>
        <v>3.5</v>
      </c>
    </row>
    <row r="9" spans="1:8" ht="25" customHeight="1">
      <c r="A9" s="37">
        <v>1765</v>
      </c>
      <c r="B9" s="34">
        <f>Labs!AF9</f>
        <v>0.315</v>
      </c>
      <c r="C9" s="35">
        <f>Labs!AG9</f>
        <v>0.33750000000000002</v>
      </c>
      <c r="D9" s="36">
        <f>Labs!AH9</f>
        <v>0.33</v>
      </c>
      <c r="E9" s="17"/>
      <c r="F9" s="18"/>
      <c r="G9" s="16">
        <f t="shared" si="0"/>
        <v>0.98249999999999993</v>
      </c>
      <c r="H9" s="21">
        <f t="shared" si="1"/>
        <v>1</v>
      </c>
    </row>
    <row r="10" spans="1:8" ht="25" customHeight="1">
      <c r="A10" s="37">
        <v>1983</v>
      </c>
      <c r="B10" s="34">
        <f>Labs!AF10</f>
        <v>1.1775</v>
      </c>
      <c r="C10" s="35">
        <f>Labs!AG10</f>
        <v>1.335</v>
      </c>
      <c r="D10" s="36">
        <f>Labs!AH10</f>
        <v>1.3560000000000003</v>
      </c>
      <c r="E10" s="17"/>
      <c r="F10" s="18"/>
      <c r="G10" s="16">
        <f t="shared" si="0"/>
        <v>3.8685</v>
      </c>
      <c r="H10" s="21">
        <f t="shared" si="1"/>
        <v>4</v>
      </c>
    </row>
    <row r="11" spans="1:8" ht="25" customHeight="1">
      <c r="A11" s="37">
        <v>2315</v>
      </c>
      <c r="B11" s="34">
        <f>Labs!AF11</f>
        <v>0.56999999999999995</v>
      </c>
      <c r="C11" s="35">
        <f>Labs!AG11</f>
        <v>0.82499999999999996</v>
      </c>
      <c r="D11" s="36">
        <f>Labs!AH11</f>
        <v>0.53400000000000003</v>
      </c>
      <c r="E11" s="17"/>
      <c r="F11" s="18"/>
      <c r="G11" s="16">
        <f t="shared" si="0"/>
        <v>1.9289999999999998</v>
      </c>
      <c r="H11" s="21">
        <f t="shared" si="1"/>
        <v>2</v>
      </c>
    </row>
    <row r="12" spans="1:8" ht="25" customHeight="1">
      <c r="A12" s="37">
        <v>2815</v>
      </c>
      <c r="B12" s="34">
        <f>Labs!AF12</f>
        <v>0.32250000000000001</v>
      </c>
      <c r="C12" s="35">
        <f>Labs!AG12</f>
        <v>0.8175</v>
      </c>
      <c r="D12" s="36">
        <f>Labs!AH12</f>
        <v>0.72750000000000004</v>
      </c>
      <c r="E12" s="17"/>
      <c r="F12" s="18"/>
      <c r="G12" s="16">
        <f t="shared" si="0"/>
        <v>1.8674999999999999</v>
      </c>
      <c r="H12" s="21">
        <f t="shared" si="1"/>
        <v>2</v>
      </c>
    </row>
    <row r="13" spans="1:8" ht="25" customHeight="1">
      <c r="A13" s="37">
        <v>2830</v>
      </c>
      <c r="B13" s="34">
        <f>Labs!AF13</f>
        <v>0.65249999999999997</v>
      </c>
      <c r="C13" s="35">
        <f>Labs!AG13</f>
        <v>1.1475</v>
      </c>
      <c r="D13" s="36">
        <f>Labs!AH13</f>
        <v>1.1385000000000001</v>
      </c>
      <c r="E13" s="17"/>
      <c r="F13" s="18"/>
      <c r="G13" s="16">
        <f t="shared" si="0"/>
        <v>2.9384999999999999</v>
      </c>
      <c r="H13" s="21">
        <f t="shared" si="1"/>
        <v>3</v>
      </c>
    </row>
    <row r="14" spans="1:8" ht="25" customHeight="1">
      <c r="A14" s="37">
        <v>2902</v>
      </c>
      <c r="B14" s="34">
        <f>Labs!AF14</f>
        <v>0.87749999999999995</v>
      </c>
      <c r="C14" s="35">
        <f>Labs!AG14</f>
        <v>0.98250000000000004</v>
      </c>
      <c r="D14" s="36">
        <f>Labs!AH14</f>
        <v>1.05</v>
      </c>
      <c r="E14" s="17"/>
      <c r="F14" s="18"/>
      <c r="G14" s="16">
        <f t="shared" si="0"/>
        <v>2.91</v>
      </c>
      <c r="H14" s="21">
        <f t="shared" si="1"/>
        <v>3</v>
      </c>
    </row>
    <row r="15" spans="1:8" ht="25" customHeight="1">
      <c r="A15" s="37">
        <v>3349</v>
      </c>
      <c r="B15" s="34">
        <f>Labs!AF15</f>
        <v>0.75</v>
      </c>
      <c r="C15" s="35">
        <f>Labs!AG15</f>
        <v>1.0725</v>
      </c>
      <c r="D15" s="36">
        <f>Labs!AH15</f>
        <v>1.089</v>
      </c>
      <c r="E15" s="17"/>
      <c r="F15" s="18"/>
      <c r="G15" s="16">
        <f t="shared" si="0"/>
        <v>2.9115000000000002</v>
      </c>
      <c r="H15" s="21">
        <f t="shared" si="1"/>
        <v>3</v>
      </c>
    </row>
    <row r="16" spans="1:8" ht="25" customHeight="1">
      <c r="A16" s="38">
        <v>3437</v>
      </c>
      <c r="B16" s="34">
        <f>Labs!AF16</f>
        <v>0.9</v>
      </c>
      <c r="C16" s="35">
        <f>Labs!AG16</f>
        <v>1.2675000000000001</v>
      </c>
      <c r="D16" s="36">
        <f>Labs!AH16</f>
        <v>1.1955</v>
      </c>
      <c r="E16" s="17"/>
      <c r="F16" s="18"/>
      <c r="G16" s="16">
        <f t="shared" si="0"/>
        <v>3.363</v>
      </c>
      <c r="H16" s="21">
        <f t="shared" si="1"/>
        <v>3.5</v>
      </c>
    </row>
    <row r="17" spans="1:8" ht="25" customHeight="1">
      <c r="A17" s="37">
        <v>4026</v>
      </c>
      <c r="B17" s="34">
        <f>Labs!AF17</f>
        <v>0.84750000000000003</v>
      </c>
      <c r="C17" s="35">
        <f>Labs!AG17</f>
        <v>1.3125</v>
      </c>
      <c r="D17" s="36">
        <f>Labs!AH17</f>
        <v>1.3200000000000003</v>
      </c>
      <c r="E17" s="17"/>
      <c r="F17" s="18"/>
      <c r="G17" s="16">
        <f t="shared" si="0"/>
        <v>3.4800000000000004</v>
      </c>
      <c r="H17" s="21">
        <f t="shared" si="1"/>
        <v>3.5</v>
      </c>
    </row>
    <row r="18" spans="1:8" ht="25" customHeight="1">
      <c r="A18" s="37">
        <v>4164</v>
      </c>
      <c r="B18" s="34">
        <f>Labs!AF18</f>
        <v>0.57750000000000001</v>
      </c>
      <c r="C18" s="35">
        <f>Labs!AG18</f>
        <v>0.72750000000000004</v>
      </c>
      <c r="D18" s="36">
        <f>Labs!AH18</f>
        <v>0.73050000000000015</v>
      </c>
      <c r="E18" s="17"/>
      <c r="F18" s="18"/>
      <c r="G18" s="16">
        <f t="shared" si="0"/>
        <v>2.0355000000000003</v>
      </c>
      <c r="H18" s="21">
        <f t="shared" si="1"/>
        <v>2</v>
      </c>
    </row>
    <row r="19" spans="1:8" ht="25" customHeight="1">
      <c r="A19" s="37">
        <v>4257</v>
      </c>
      <c r="B19" s="34">
        <f>Labs!AF19</f>
        <v>1.1399999999999999</v>
      </c>
      <c r="C19" s="35">
        <f>Labs!AG19</f>
        <v>1.1174999999999999</v>
      </c>
      <c r="D19" s="36">
        <f>Labs!AH19</f>
        <v>0.97650000000000003</v>
      </c>
      <c r="E19" s="17"/>
      <c r="F19" s="18"/>
      <c r="G19" s="16">
        <f t="shared" si="0"/>
        <v>3.234</v>
      </c>
      <c r="H19" s="21">
        <f t="shared" si="1"/>
        <v>3</v>
      </c>
    </row>
    <row r="20" spans="1:8" ht="25" customHeight="1">
      <c r="A20" s="37">
        <v>4616</v>
      </c>
      <c r="B20" s="34">
        <f>Labs!AF20</f>
        <v>0.69750000000000001</v>
      </c>
      <c r="C20" s="35">
        <f>Labs!AG20</f>
        <v>0.98250000000000004</v>
      </c>
      <c r="D20" s="36">
        <f>Labs!AH20</f>
        <v>1.05</v>
      </c>
      <c r="E20" s="17"/>
      <c r="F20" s="18"/>
      <c r="G20" s="16">
        <f t="shared" si="0"/>
        <v>2.7300000000000004</v>
      </c>
      <c r="H20" s="21">
        <f t="shared" si="1"/>
        <v>2.5</v>
      </c>
    </row>
    <row r="21" spans="1:8" ht="25" customHeight="1">
      <c r="A21" s="38">
        <v>4967</v>
      </c>
      <c r="B21" s="34">
        <f>Labs!AF21</f>
        <v>0.64500000000000002</v>
      </c>
      <c r="C21" s="35">
        <f>Labs!AG21</f>
        <v>1.0349999999999999</v>
      </c>
      <c r="D21" s="36">
        <f>Labs!AH21</f>
        <v>0.97650000000000003</v>
      </c>
      <c r="E21" s="17"/>
      <c r="F21" s="18"/>
      <c r="G21" s="16">
        <f t="shared" si="0"/>
        <v>2.6564999999999999</v>
      </c>
      <c r="H21" s="21">
        <f t="shared" si="1"/>
        <v>2.5</v>
      </c>
    </row>
    <row r="22" spans="1:8" ht="25" customHeight="1">
      <c r="A22" s="38">
        <v>5022</v>
      </c>
      <c r="B22" s="34">
        <f>Labs!AF22</f>
        <v>0.79500000000000004</v>
      </c>
      <c r="C22" s="35">
        <f>Labs!AG22</f>
        <v>1.3125</v>
      </c>
      <c r="D22" s="36">
        <f>Labs!AH22</f>
        <v>1.2105000000000001</v>
      </c>
      <c r="E22" s="17"/>
      <c r="F22" s="18"/>
      <c r="G22" s="16">
        <f t="shared" si="0"/>
        <v>3.3180000000000001</v>
      </c>
      <c r="H22" s="21">
        <f t="shared" si="1"/>
        <v>3.5</v>
      </c>
    </row>
    <row r="23" spans="1:8" ht="25" customHeight="1">
      <c r="A23" s="37">
        <v>6642</v>
      </c>
      <c r="B23" s="34">
        <f>Labs!AF23</f>
        <v>1.2524999999999999</v>
      </c>
      <c r="C23" s="35">
        <f>Labs!AG23</f>
        <v>1.3125</v>
      </c>
      <c r="D23" s="36">
        <f>Labs!AH23</f>
        <v>1.2105000000000001</v>
      </c>
      <c r="E23" s="17"/>
      <c r="F23" s="18"/>
      <c r="G23" s="16">
        <f t="shared" si="0"/>
        <v>3.7755000000000001</v>
      </c>
      <c r="H23" s="21">
        <f t="shared" si="1"/>
        <v>4</v>
      </c>
    </row>
    <row r="24" spans="1:8" ht="25" customHeight="1">
      <c r="A24" s="38">
        <v>7978</v>
      </c>
      <c r="B24" s="34">
        <f>Labs!AF24</f>
        <v>0.57750000000000001</v>
      </c>
      <c r="C24" s="35">
        <f>Labs!AG24</f>
        <v>0.75</v>
      </c>
      <c r="D24" s="36">
        <f>Labs!AH24</f>
        <v>1.05</v>
      </c>
      <c r="E24" s="17"/>
      <c r="F24" s="18"/>
      <c r="G24" s="16">
        <f t="shared" si="0"/>
        <v>2.3774999999999999</v>
      </c>
      <c r="H24" s="21">
        <f t="shared" si="1"/>
        <v>2.5</v>
      </c>
    </row>
    <row r="25" spans="1:8" ht="25" customHeight="1">
      <c r="A25" s="38">
        <v>7999</v>
      </c>
      <c r="B25" s="34">
        <f>Labs!AF25</f>
        <v>1.17</v>
      </c>
      <c r="C25" s="35">
        <f>Labs!AG25</f>
        <v>1.2675000000000001</v>
      </c>
      <c r="D25" s="36">
        <f>Labs!AH25</f>
        <v>1.1955</v>
      </c>
      <c r="E25" s="17"/>
      <c r="F25" s="18"/>
      <c r="G25" s="16">
        <f t="shared" si="0"/>
        <v>3.633</v>
      </c>
      <c r="H25" s="21">
        <f t="shared" si="1"/>
        <v>3.5</v>
      </c>
    </row>
    <row r="26" spans="1:8" ht="25" customHeight="1">
      <c r="A26" s="37">
        <v>8335</v>
      </c>
      <c r="B26" s="34">
        <f>Labs!AF26</f>
        <v>0.51749999999999996</v>
      </c>
      <c r="C26" s="35">
        <f>Labs!AG26</f>
        <v>1.1174999999999999</v>
      </c>
      <c r="D26" s="36">
        <f>Labs!AH26</f>
        <v>0.97650000000000003</v>
      </c>
      <c r="E26" s="17"/>
      <c r="F26" s="18"/>
      <c r="G26" s="16">
        <f t="shared" si="0"/>
        <v>2.6114999999999999</v>
      </c>
      <c r="H26" s="21">
        <f t="shared" si="1"/>
        <v>2.5</v>
      </c>
    </row>
    <row r="27" spans="1:8" ht="25" customHeight="1">
      <c r="A27" s="30"/>
      <c r="B27" s="31"/>
      <c r="C27" s="31"/>
      <c r="D27" s="31"/>
      <c r="E27" s="32"/>
      <c r="F27" s="30"/>
      <c r="G27" s="30"/>
      <c r="H27" s="33"/>
    </row>
    <row r="28" spans="1:8" ht="25" customHeight="1">
      <c r="A28" s="23" t="s">
        <v>4</v>
      </c>
      <c r="B28" s="24">
        <f>1.5*Labs!AF28/Labs!AF28</f>
        <v>1.5</v>
      </c>
      <c r="C28" s="25">
        <f>1.5*Labs!AG28/Labs!AG28</f>
        <v>1.5</v>
      </c>
      <c r="D28" s="26">
        <f>1.5*Labs!AH28/Labs!AH28</f>
        <v>1.5</v>
      </c>
      <c r="E28" s="27">
        <v>100</v>
      </c>
      <c r="F28" s="28">
        <v>100</v>
      </c>
      <c r="G28" s="29">
        <v>10</v>
      </c>
      <c r="H28" s="22">
        <v>10</v>
      </c>
    </row>
    <row r="29" spans="1:8" ht="25" customHeight="1">
      <c r="A29" s="7" t="s">
        <v>1</v>
      </c>
      <c r="B29" s="8">
        <f t="shared" ref="B29:H29" si="2">AVERAGE(B$3:B$26)</f>
        <v>0.82406250000000014</v>
      </c>
      <c r="C29" s="8">
        <f t="shared" si="2"/>
        <v>1.086875</v>
      </c>
      <c r="D29" s="8">
        <f t="shared" si="2"/>
        <v>1.0528125000000004</v>
      </c>
      <c r="E29" s="8" t="e">
        <f t="shared" si="2"/>
        <v>#DIV/0!</v>
      </c>
      <c r="F29" s="8" t="e">
        <f t="shared" si="2"/>
        <v>#DIV/0!</v>
      </c>
      <c r="G29" s="8">
        <f t="shared" si="2"/>
        <v>2.9637499999999997</v>
      </c>
      <c r="H29" s="8">
        <f t="shared" si="2"/>
        <v>2.9583333333333335</v>
      </c>
    </row>
    <row r="30" spans="1:8" ht="25" customHeight="1">
      <c r="A30" s="5" t="s">
        <v>2</v>
      </c>
      <c r="B30" s="3">
        <f t="shared" ref="B30:H30" si="3">STDEV(B$3:B$26)</f>
        <v>0.28615879266513011</v>
      </c>
      <c r="C30" s="3">
        <f t="shared" si="3"/>
        <v>0.25014805398612122</v>
      </c>
      <c r="D30" s="3">
        <f t="shared" si="3"/>
        <v>0.25338220024732117</v>
      </c>
      <c r="E30" s="3" t="e">
        <f t="shared" si="3"/>
        <v>#DIV/0!</v>
      </c>
      <c r="F30" s="3" t="e">
        <f t="shared" si="3"/>
        <v>#DIV/0!</v>
      </c>
      <c r="G30" s="3">
        <f t="shared" si="3"/>
        <v>0.73539953648399281</v>
      </c>
      <c r="H30" s="3">
        <f t="shared" si="3"/>
        <v>0.73598007219398753</v>
      </c>
    </row>
    <row r="31" spans="1:8" ht="25" customHeight="1">
      <c r="A31" s="6" t="s">
        <v>3</v>
      </c>
      <c r="B31" s="3">
        <f t="shared" ref="B31:H31" si="4">MEDIAN(B$3:B$26)</f>
        <v>0.82125000000000004</v>
      </c>
      <c r="C31" s="3">
        <f t="shared" si="4"/>
        <v>1.1324999999999998</v>
      </c>
      <c r="D31" s="3">
        <f t="shared" si="4"/>
        <v>1.11375</v>
      </c>
      <c r="E31" s="3" t="e">
        <f t="shared" si="4"/>
        <v>#NUM!</v>
      </c>
      <c r="F31" s="3" t="e">
        <f t="shared" si="4"/>
        <v>#NUM!</v>
      </c>
      <c r="G31" s="3">
        <f t="shared" si="4"/>
        <v>3.0862499999999997</v>
      </c>
      <c r="H31" s="3">
        <f t="shared" si="4"/>
        <v>3</v>
      </c>
    </row>
  </sheetData>
  <sortState ref="A3:H26">
    <sortCondition ref="A3:A26"/>
  </sortState>
  <mergeCells count="5">
    <mergeCell ref="H1:H2"/>
    <mergeCell ref="A1:A2"/>
    <mergeCell ref="B1:D1"/>
    <mergeCell ref="E1:F1"/>
    <mergeCell ref="G1:G2"/>
  </mergeCells>
  <phoneticPr fontId="1" type="noConversion"/>
  <pageMargins left="0.75" right="0.75" top="1" bottom="1" header="0.5" footer="0.5"/>
  <pageSetup paperSize="9" scale="54" orientation="portrait" horizontalDpi="4294967292" verticalDpi="4294967292"/>
  <rowBreaks count="1" manualBreakCount="1">
    <brk id="31" max="16383" man="1"/>
  </rowBreaks>
  <colBreaks count="1" manualBreakCount="1">
    <brk id="9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tabSelected="1" topLeftCell="A6" workbookViewId="0">
      <selection activeCell="V18" sqref="V18"/>
    </sheetView>
  </sheetViews>
  <sheetFormatPr baseColWidth="10" defaultColWidth="11" defaultRowHeight="13" x14ac:dyDescent="0"/>
  <cols>
    <col min="1" max="1" width="16.7109375" customWidth="1"/>
    <col min="2" max="34" width="6.7109375" customWidth="1"/>
    <col min="35" max="37" width="7" customWidth="1"/>
    <col min="38" max="39" width="16.7109375" customWidth="1"/>
  </cols>
  <sheetData>
    <row r="1" spans="1:39" ht="26" customHeight="1">
      <c r="A1" s="46" t="s">
        <v>22</v>
      </c>
      <c r="B1" s="53" t="s">
        <v>7</v>
      </c>
      <c r="C1" s="54"/>
      <c r="D1" s="55"/>
      <c r="E1" s="53" t="s">
        <v>8</v>
      </c>
      <c r="F1" s="54"/>
      <c r="G1" s="55"/>
      <c r="H1" s="53" t="s">
        <v>9</v>
      </c>
      <c r="I1" s="54"/>
      <c r="J1" s="55"/>
      <c r="K1" s="53" t="s">
        <v>10</v>
      </c>
      <c r="L1" s="54"/>
      <c r="M1" s="55"/>
      <c r="N1" s="53" t="s">
        <v>11</v>
      </c>
      <c r="O1" s="54"/>
      <c r="P1" s="55"/>
      <c r="Q1" s="53" t="s">
        <v>15</v>
      </c>
      <c r="R1" s="54"/>
      <c r="S1" s="55"/>
      <c r="T1" s="53" t="s">
        <v>16</v>
      </c>
      <c r="U1" s="54"/>
      <c r="V1" s="55"/>
      <c r="W1" s="53" t="s">
        <v>17</v>
      </c>
      <c r="X1" s="54"/>
      <c r="Y1" s="55"/>
      <c r="Z1" s="53" t="s">
        <v>18</v>
      </c>
      <c r="AA1" s="54"/>
      <c r="AB1" s="55"/>
      <c r="AC1" s="53" t="s">
        <v>19</v>
      </c>
      <c r="AD1" s="54"/>
      <c r="AE1" s="55"/>
      <c r="AF1" s="48" t="s">
        <v>20</v>
      </c>
      <c r="AG1" s="49"/>
      <c r="AH1" s="50"/>
    </row>
    <row r="2" spans="1:39" ht="26" customHeight="1">
      <c r="A2" s="56"/>
      <c r="B2" s="3" t="s">
        <v>12</v>
      </c>
      <c r="C2" s="3" t="s">
        <v>0</v>
      </c>
      <c r="D2" s="3" t="s">
        <v>13</v>
      </c>
      <c r="E2" s="3" t="s">
        <v>14</v>
      </c>
      <c r="F2" s="3" t="s">
        <v>0</v>
      </c>
      <c r="G2" s="3" t="s">
        <v>13</v>
      </c>
      <c r="H2" s="3" t="s">
        <v>14</v>
      </c>
      <c r="I2" s="3" t="s">
        <v>0</v>
      </c>
      <c r="J2" s="3" t="s">
        <v>13</v>
      </c>
      <c r="K2" s="3" t="s">
        <v>14</v>
      </c>
      <c r="L2" s="3" t="s">
        <v>0</v>
      </c>
      <c r="M2" s="3" t="s">
        <v>13</v>
      </c>
      <c r="N2" s="3" t="s">
        <v>14</v>
      </c>
      <c r="O2" s="3" t="s">
        <v>0</v>
      </c>
      <c r="P2" s="3" t="s">
        <v>13</v>
      </c>
      <c r="Q2" s="3" t="s">
        <v>14</v>
      </c>
      <c r="R2" s="3" t="s">
        <v>0</v>
      </c>
      <c r="S2" s="3" t="s">
        <v>13</v>
      </c>
      <c r="T2" s="3" t="s">
        <v>14</v>
      </c>
      <c r="U2" s="3" t="s">
        <v>0</v>
      </c>
      <c r="V2" s="3" t="s">
        <v>13</v>
      </c>
      <c r="W2" s="3" t="s">
        <v>14</v>
      </c>
      <c r="X2" s="3" t="s">
        <v>0</v>
      </c>
      <c r="Y2" s="3" t="s">
        <v>13</v>
      </c>
      <c r="Z2" s="3" t="s">
        <v>14</v>
      </c>
      <c r="AA2" s="3" t="s">
        <v>0</v>
      </c>
      <c r="AB2" s="3" t="s">
        <v>13</v>
      </c>
      <c r="AC2" s="3" t="s">
        <v>14</v>
      </c>
      <c r="AD2" s="3" t="s">
        <v>0</v>
      </c>
      <c r="AE2" s="3" t="s">
        <v>13</v>
      </c>
      <c r="AF2" s="19" t="s">
        <v>14</v>
      </c>
      <c r="AG2" s="14" t="s">
        <v>0</v>
      </c>
      <c r="AH2" s="15" t="s">
        <v>13</v>
      </c>
    </row>
    <row r="3" spans="1:39" ht="26" customHeight="1">
      <c r="A3" s="39" t="s">
        <v>25</v>
      </c>
      <c r="B3" s="3">
        <v>4.5</v>
      </c>
      <c r="C3" s="3">
        <v>6.5</v>
      </c>
      <c r="D3" s="3">
        <v>7.4</v>
      </c>
      <c r="E3" s="3">
        <v>2.5</v>
      </c>
      <c r="F3" s="3">
        <v>5</v>
      </c>
      <c r="G3" s="3">
        <v>4</v>
      </c>
      <c r="H3" s="3">
        <v>5</v>
      </c>
      <c r="I3" s="3">
        <v>5</v>
      </c>
      <c r="J3" s="3">
        <v>7.3</v>
      </c>
      <c r="K3" s="3">
        <v>3</v>
      </c>
      <c r="L3" s="3">
        <v>8</v>
      </c>
      <c r="M3" s="3">
        <v>7.3</v>
      </c>
      <c r="N3" s="3">
        <v>5</v>
      </c>
      <c r="O3" s="3">
        <v>8</v>
      </c>
      <c r="P3" s="3">
        <v>7</v>
      </c>
      <c r="Q3" s="3">
        <v>8</v>
      </c>
      <c r="R3" s="3">
        <v>8</v>
      </c>
      <c r="S3" s="3">
        <v>6.5</v>
      </c>
      <c r="T3" s="3">
        <v>2</v>
      </c>
      <c r="U3" s="4">
        <v>8</v>
      </c>
      <c r="V3" s="3">
        <v>5.7</v>
      </c>
      <c r="W3" s="3">
        <v>1</v>
      </c>
      <c r="X3" s="3">
        <v>6.5</v>
      </c>
      <c r="Y3" s="3">
        <v>6</v>
      </c>
      <c r="Z3" s="3">
        <v>2</v>
      </c>
      <c r="AA3" s="3">
        <v>6.5</v>
      </c>
      <c r="AB3" s="3">
        <v>6.7</v>
      </c>
      <c r="AC3" s="3">
        <v>3</v>
      </c>
      <c r="AD3" s="3">
        <v>7.5</v>
      </c>
      <c r="AE3" s="3">
        <v>7.2</v>
      </c>
      <c r="AF3" s="34">
        <f t="shared" ref="AF3:AF26" si="0">1.5*(B3+E3+H3+K3+N3+Q3+T3+W3+Z3+AC3)/AF$28</f>
        <v>0.54</v>
      </c>
      <c r="AG3" s="35">
        <f t="shared" ref="AG3:AG26" si="1">1.5*(C3+F3+I3+L3+O3+R3+U3+X3+AA3+AD3)/AG$28</f>
        <v>1.0349999999999999</v>
      </c>
      <c r="AH3" s="36">
        <f t="shared" ref="AH3:AH26" si="2">1.5*(D3+G3+J3+M3+P3+S3+V3+Y3+AB3+AE3)/AH$28</f>
        <v>0.97650000000000003</v>
      </c>
    </row>
    <row r="4" spans="1:39" ht="26" customHeight="1">
      <c r="A4" s="39" t="s">
        <v>28</v>
      </c>
      <c r="B4" s="3">
        <v>3</v>
      </c>
      <c r="C4" s="3">
        <v>8</v>
      </c>
      <c r="D4" s="3">
        <v>9</v>
      </c>
      <c r="E4" s="3">
        <v>3.5</v>
      </c>
      <c r="F4" s="3">
        <v>9</v>
      </c>
      <c r="G4" s="3">
        <v>9.4</v>
      </c>
      <c r="H4" s="3">
        <v>8</v>
      </c>
      <c r="I4" s="3">
        <v>9</v>
      </c>
      <c r="J4" s="3">
        <v>8.1</v>
      </c>
      <c r="K4" s="3">
        <v>5</v>
      </c>
      <c r="L4" s="3">
        <v>9</v>
      </c>
      <c r="M4" s="3">
        <v>9.3000000000000007</v>
      </c>
      <c r="N4" s="3">
        <v>6</v>
      </c>
      <c r="O4" s="3">
        <v>9</v>
      </c>
      <c r="P4" s="3">
        <v>9.6</v>
      </c>
      <c r="Q4" s="3">
        <v>10</v>
      </c>
      <c r="R4" s="3">
        <v>9</v>
      </c>
      <c r="S4" s="3">
        <v>9.5</v>
      </c>
      <c r="T4" s="3">
        <v>6</v>
      </c>
      <c r="U4" s="3">
        <v>8</v>
      </c>
      <c r="V4" s="3">
        <v>9.6</v>
      </c>
      <c r="W4" s="3">
        <v>7</v>
      </c>
      <c r="X4" s="3">
        <v>9.5</v>
      </c>
      <c r="Y4" s="3">
        <v>8</v>
      </c>
      <c r="Z4" s="3">
        <v>8</v>
      </c>
      <c r="AA4" s="3">
        <v>9</v>
      </c>
      <c r="AB4" s="3">
        <v>8.5</v>
      </c>
      <c r="AC4" s="3">
        <v>7</v>
      </c>
      <c r="AD4" s="3">
        <v>9.5</v>
      </c>
      <c r="AE4" s="3">
        <v>9.4</v>
      </c>
      <c r="AF4" s="34">
        <f t="shared" si="0"/>
        <v>0.95250000000000001</v>
      </c>
      <c r="AG4" s="35">
        <f t="shared" si="1"/>
        <v>1.335</v>
      </c>
      <c r="AH4" s="36">
        <f t="shared" si="2"/>
        <v>1.3560000000000003</v>
      </c>
    </row>
    <row r="5" spans="1:39" ht="26" customHeight="1">
      <c r="A5" s="40" t="s">
        <v>27</v>
      </c>
      <c r="B5" s="3">
        <v>6.5</v>
      </c>
      <c r="C5" s="3">
        <v>8</v>
      </c>
      <c r="D5" s="3">
        <v>8.4</v>
      </c>
      <c r="E5" s="3">
        <v>6.5</v>
      </c>
      <c r="F5" s="3">
        <v>7</v>
      </c>
      <c r="G5" s="3">
        <v>7.7</v>
      </c>
      <c r="H5" s="3">
        <v>10</v>
      </c>
      <c r="I5" s="3">
        <v>8.5</v>
      </c>
      <c r="J5" s="3">
        <v>9.3000000000000007</v>
      </c>
      <c r="K5" s="3">
        <v>8</v>
      </c>
      <c r="L5" s="3">
        <v>7.5</v>
      </c>
      <c r="M5" s="3">
        <v>9</v>
      </c>
      <c r="N5" s="3">
        <v>9</v>
      </c>
      <c r="O5" s="3">
        <v>9</v>
      </c>
      <c r="P5" s="3">
        <v>8.1999999999999993</v>
      </c>
      <c r="Q5" s="3">
        <v>10</v>
      </c>
      <c r="R5" s="3">
        <v>9.5</v>
      </c>
      <c r="S5" s="3">
        <v>8.4</v>
      </c>
      <c r="T5" s="3">
        <v>6</v>
      </c>
      <c r="U5" s="4">
        <v>8.5</v>
      </c>
      <c r="V5" s="3">
        <v>8.8000000000000007</v>
      </c>
      <c r="W5" s="3">
        <v>5</v>
      </c>
      <c r="X5" s="3">
        <v>8</v>
      </c>
      <c r="Y5" s="3">
        <v>4.8</v>
      </c>
      <c r="Z5" s="3">
        <v>1</v>
      </c>
      <c r="AA5" s="3">
        <v>9.5</v>
      </c>
      <c r="AB5" s="3">
        <v>9.4</v>
      </c>
      <c r="AC5" s="3">
        <v>8</v>
      </c>
      <c r="AD5" s="3">
        <v>9</v>
      </c>
      <c r="AE5" s="3">
        <v>8.1999999999999993</v>
      </c>
      <c r="AF5" s="34">
        <f t="shared" si="0"/>
        <v>1.05</v>
      </c>
      <c r="AG5" s="35">
        <f t="shared" si="1"/>
        <v>1.2675000000000001</v>
      </c>
      <c r="AH5" s="36">
        <f t="shared" si="2"/>
        <v>1.2330000000000003</v>
      </c>
    </row>
    <row r="6" spans="1:39" ht="26" customHeight="1">
      <c r="A6" s="39" t="s">
        <v>26</v>
      </c>
      <c r="B6" s="4">
        <v>10</v>
      </c>
      <c r="C6" s="4">
        <v>7.5</v>
      </c>
      <c r="D6" s="4">
        <v>6.7</v>
      </c>
      <c r="E6" s="3">
        <v>2</v>
      </c>
      <c r="F6" s="3">
        <v>8</v>
      </c>
      <c r="G6" s="3">
        <v>8.3000000000000007</v>
      </c>
      <c r="H6" s="3">
        <v>5</v>
      </c>
      <c r="I6" s="4">
        <v>7</v>
      </c>
      <c r="J6" s="4">
        <v>7</v>
      </c>
      <c r="K6" s="4">
        <v>7</v>
      </c>
      <c r="L6" s="4">
        <v>3.5</v>
      </c>
      <c r="M6" s="4">
        <v>6.4</v>
      </c>
      <c r="N6" s="4">
        <v>10</v>
      </c>
      <c r="O6" s="4">
        <v>10</v>
      </c>
      <c r="P6" s="4">
        <v>7.6</v>
      </c>
      <c r="Q6" s="4">
        <v>10</v>
      </c>
      <c r="R6" s="4">
        <v>10</v>
      </c>
      <c r="S6" s="3">
        <v>5.7</v>
      </c>
      <c r="T6" s="4">
        <v>2</v>
      </c>
      <c r="U6" s="4">
        <v>8</v>
      </c>
      <c r="V6" s="4">
        <v>9.1999999999999993</v>
      </c>
      <c r="W6" s="4">
        <v>10</v>
      </c>
      <c r="X6" s="3">
        <v>8</v>
      </c>
      <c r="Y6" s="4">
        <v>9</v>
      </c>
      <c r="Z6" s="4">
        <v>8</v>
      </c>
      <c r="AA6" s="4">
        <v>6.5</v>
      </c>
      <c r="AB6" s="4">
        <v>6.9</v>
      </c>
      <c r="AC6" s="4">
        <v>9</v>
      </c>
      <c r="AD6" s="4">
        <v>8</v>
      </c>
      <c r="AE6" s="4">
        <v>9.3000000000000007</v>
      </c>
      <c r="AF6" s="34">
        <f t="shared" si="0"/>
        <v>1.095</v>
      </c>
      <c r="AG6" s="35">
        <f t="shared" si="1"/>
        <v>1.1475</v>
      </c>
      <c r="AH6" s="36">
        <f t="shared" si="2"/>
        <v>1.1415</v>
      </c>
    </row>
    <row r="7" spans="1:39" ht="26" customHeight="1">
      <c r="A7" s="38">
        <v>1019</v>
      </c>
      <c r="B7" s="3">
        <v>7</v>
      </c>
      <c r="C7" s="3">
        <v>8</v>
      </c>
      <c r="D7" s="3">
        <v>6.7</v>
      </c>
      <c r="E7" s="3">
        <v>8</v>
      </c>
      <c r="F7" s="3">
        <v>8</v>
      </c>
      <c r="G7" s="3">
        <v>8.6</v>
      </c>
      <c r="H7" s="3">
        <v>5</v>
      </c>
      <c r="I7" s="42">
        <v>10</v>
      </c>
      <c r="J7" s="3">
        <v>8.6999999999999993</v>
      </c>
      <c r="K7" s="3">
        <v>10</v>
      </c>
      <c r="L7" s="3">
        <v>9</v>
      </c>
      <c r="M7" s="3">
        <v>7.9</v>
      </c>
      <c r="N7" s="3">
        <v>7</v>
      </c>
      <c r="O7" s="3">
        <v>9</v>
      </c>
      <c r="P7" s="3">
        <v>8.8000000000000007</v>
      </c>
      <c r="Q7" s="3">
        <v>10</v>
      </c>
      <c r="R7" s="3">
        <v>8</v>
      </c>
      <c r="S7" s="3">
        <v>8</v>
      </c>
      <c r="T7" s="3">
        <v>7</v>
      </c>
      <c r="U7" s="3">
        <v>8.5</v>
      </c>
      <c r="V7" s="3">
        <v>7.3</v>
      </c>
      <c r="W7" s="3">
        <v>10</v>
      </c>
      <c r="X7" s="3">
        <v>7.5</v>
      </c>
      <c r="Y7" s="3">
        <v>7.5</v>
      </c>
      <c r="Z7" s="3">
        <v>5</v>
      </c>
      <c r="AA7" s="3">
        <v>9.5</v>
      </c>
      <c r="AB7" s="3">
        <v>8.1999999999999993</v>
      </c>
      <c r="AC7" s="3">
        <v>10</v>
      </c>
      <c r="AD7" s="3">
        <v>10</v>
      </c>
      <c r="AE7" s="3">
        <v>9</v>
      </c>
      <c r="AF7" s="34">
        <f t="shared" si="0"/>
        <v>1.1850000000000001</v>
      </c>
      <c r="AG7" s="35">
        <f t="shared" si="1"/>
        <v>1.3125</v>
      </c>
      <c r="AH7" s="36">
        <f t="shared" si="2"/>
        <v>1.2105000000000001</v>
      </c>
    </row>
    <row r="8" spans="1:39" ht="26" customHeight="1">
      <c r="A8" s="37">
        <v>1536</v>
      </c>
      <c r="B8" s="3">
        <v>4</v>
      </c>
      <c r="C8" s="3">
        <v>8</v>
      </c>
      <c r="D8" s="3">
        <v>8.4</v>
      </c>
      <c r="E8" s="3">
        <v>7</v>
      </c>
      <c r="F8" s="3">
        <v>7</v>
      </c>
      <c r="G8" s="3">
        <v>7.7</v>
      </c>
      <c r="H8" s="3">
        <v>10</v>
      </c>
      <c r="I8" s="3">
        <v>8.5</v>
      </c>
      <c r="J8" s="3">
        <v>9.3000000000000007</v>
      </c>
      <c r="K8" s="3">
        <v>8</v>
      </c>
      <c r="L8" s="3">
        <v>7.5</v>
      </c>
      <c r="M8" s="3">
        <v>9</v>
      </c>
      <c r="N8" s="3">
        <v>10</v>
      </c>
      <c r="O8" s="3">
        <v>9</v>
      </c>
      <c r="P8" s="3">
        <v>8.1999999999999993</v>
      </c>
      <c r="Q8" s="3">
        <v>10</v>
      </c>
      <c r="R8" s="3">
        <v>9.5</v>
      </c>
      <c r="S8" s="3">
        <v>8.4</v>
      </c>
      <c r="T8" s="3">
        <v>5</v>
      </c>
      <c r="U8" s="3">
        <v>8.5</v>
      </c>
      <c r="V8" s="3">
        <v>8.8000000000000007</v>
      </c>
      <c r="W8" s="3">
        <v>7</v>
      </c>
      <c r="X8" s="3">
        <v>8</v>
      </c>
      <c r="Y8" s="3">
        <v>4.8</v>
      </c>
      <c r="Z8" s="3">
        <v>8</v>
      </c>
      <c r="AA8" s="3">
        <v>9.5</v>
      </c>
      <c r="AB8" s="3">
        <v>9.4</v>
      </c>
      <c r="AC8" s="3">
        <v>9</v>
      </c>
      <c r="AD8" s="3">
        <v>9</v>
      </c>
      <c r="AE8" s="3">
        <v>8.1999999999999993</v>
      </c>
      <c r="AF8" s="34">
        <f t="shared" si="0"/>
        <v>1.17</v>
      </c>
      <c r="AG8" s="35">
        <f t="shared" si="1"/>
        <v>1.2675000000000001</v>
      </c>
      <c r="AH8" s="36">
        <f t="shared" si="2"/>
        <v>1.2330000000000003</v>
      </c>
    </row>
    <row r="9" spans="1:39" ht="26" customHeight="1">
      <c r="A9" s="37">
        <v>1765</v>
      </c>
      <c r="B9" s="3">
        <v>5.5</v>
      </c>
      <c r="C9" s="3">
        <v>7.5</v>
      </c>
      <c r="D9" s="3">
        <v>6.7</v>
      </c>
      <c r="E9" s="3">
        <v>1</v>
      </c>
      <c r="F9" s="3">
        <v>8</v>
      </c>
      <c r="G9" s="3">
        <v>8.3000000000000007</v>
      </c>
      <c r="H9" s="3">
        <v>1.5</v>
      </c>
      <c r="I9" s="3">
        <v>7</v>
      </c>
      <c r="J9" s="3">
        <v>7</v>
      </c>
      <c r="K9" s="3">
        <v>4</v>
      </c>
      <c r="L9" s="3"/>
      <c r="M9" s="3"/>
      <c r="N9" s="3"/>
      <c r="O9" s="3"/>
      <c r="P9" s="3"/>
      <c r="Q9" s="3">
        <v>2</v>
      </c>
      <c r="R9" s="3"/>
      <c r="S9" s="3"/>
      <c r="T9" s="3"/>
      <c r="U9" s="3"/>
      <c r="V9" s="3"/>
      <c r="W9" s="3">
        <v>1</v>
      </c>
      <c r="X9" s="3"/>
      <c r="Y9" s="3"/>
      <c r="Z9" s="3">
        <v>4</v>
      </c>
      <c r="AA9" s="3"/>
      <c r="AB9" s="3"/>
      <c r="AC9" s="3">
        <v>2</v>
      </c>
      <c r="AD9" s="3"/>
      <c r="AE9" s="3"/>
      <c r="AF9" s="34">
        <f t="shared" si="0"/>
        <v>0.315</v>
      </c>
      <c r="AG9" s="35">
        <f t="shared" si="1"/>
        <v>0.33750000000000002</v>
      </c>
      <c r="AH9" s="36">
        <f t="shared" si="2"/>
        <v>0.33</v>
      </c>
    </row>
    <row r="10" spans="1:39" ht="26" customHeight="1">
      <c r="A10" s="37">
        <v>1983</v>
      </c>
      <c r="B10" s="3">
        <v>7</v>
      </c>
      <c r="C10" s="3">
        <v>8</v>
      </c>
      <c r="D10" s="3">
        <v>9</v>
      </c>
      <c r="E10" s="3">
        <v>8.5</v>
      </c>
      <c r="F10" s="3">
        <v>9</v>
      </c>
      <c r="G10" s="3">
        <v>9.4</v>
      </c>
      <c r="H10" s="3">
        <v>8</v>
      </c>
      <c r="I10" s="3">
        <v>9</v>
      </c>
      <c r="J10" s="3">
        <v>8.1</v>
      </c>
      <c r="K10" s="3">
        <v>5</v>
      </c>
      <c r="L10" s="3">
        <v>9</v>
      </c>
      <c r="M10" s="3">
        <v>9.3000000000000007</v>
      </c>
      <c r="N10" s="3">
        <v>8</v>
      </c>
      <c r="O10" s="3">
        <v>9</v>
      </c>
      <c r="P10" s="3">
        <v>9.6</v>
      </c>
      <c r="Q10" s="3">
        <v>10</v>
      </c>
      <c r="R10" s="3">
        <v>9</v>
      </c>
      <c r="S10" s="3">
        <v>9.5</v>
      </c>
      <c r="T10" s="3">
        <v>7</v>
      </c>
      <c r="U10" s="4">
        <v>8</v>
      </c>
      <c r="V10" s="3">
        <v>9.6</v>
      </c>
      <c r="W10" s="3">
        <v>10</v>
      </c>
      <c r="X10" s="3">
        <v>9.5</v>
      </c>
      <c r="Y10" s="3">
        <v>8</v>
      </c>
      <c r="Z10" s="3">
        <v>8</v>
      </c>
      <c r="AA10" s="3">
        <v>9</v>
      </c>
      <c r="AB10" s="3">
        <v>8.5</v>
      </c>
      <c r="AC10" s="3">
        <v>7</v>
      </c>
      <c r="AD10" s="3">
        <v>9.5</v>
      </c>
      <c r="AE10" s="3">
        <v>9.4</v>
      </c>
      <c r="AF10" s="34">
        <f t="shared" si="0"/>
        <v>1.1775</v>
      </c>
      <c r="AG10" s="35">
        <f t="shared" si="1"/>
        <v>1.335</v>
      </c>
      <c r="AH10" s="36">
        <f t="shared" si="2"/>
        <v>1.3560000000000003</v>
      </c>
    </row>
    <row r="11" spans="1:39" ht="26" customHeight="1">
      <c r="A11" s="37">
        <v>2315</v>
      </c>
      <c r="B11" s="3">
        <v>5.5</v>
      </c>
      <c r="C11" s="3">
        <v>6</v>
      </c>
      <c r="D11" s="3">
        <v>5.6</v>
      </c>
      <c r="E11" s="3">
        <v>2.5</v>
      </c>
      <c r="F11" s="3">
        <v>7</v>
      </c>
      <c r="G11" s="3">
        <v>7.5</v>
      </c>
      <c r="H11" s="3">
        <v>2</v>
      </c>
      <c r="I11" s="3">
        <v>6.5</v>
      </c>
      <c r="J11" s="3">
        <v>8.1</v>
      </c>
      <c r="K11" s="3">
        <v>8</v>
      </c>
      <c r="L11" s="43"/>
      <c r="M11" s="3"/>
      <c r="N11" s="3">
        <v>3</v>
      </c>
      <c r="O11" s="3">
        <v>7</v>
      </c>
      <c r="P11" s="3">
        <v>5.5</v>
      </c>
      <c r="Q11" s="3">
        <v>2</v>
      </c>
      <c r="R11" s="3"/>
      <c r="S11" s="3">
        <v>3.1</v>
      </c>
      <c r="T11" s="3">
        <v>2</v>
      </c>
      <c r="U11" s="3">
        <v>7</v>
      </c>
      <c r="V11" s="3"/>
      <c r="W11" s="3">
        <v>3</v>
      </c>
      <c r="X11" s="3">
        <v>7.5</v>
      </c>
      <c r="Y11" s="3"/>
      <c r="Z11" s="3">
        <v>4</v>
      </c>
      <c r="AA11" s="3">
        <v>7</v>
      </c>
      <c r="AB11" s="3"/>
      <c r="AC11" s="3">
        <v>6</v>
      </c>
      <c r="AD11" s="3">
        <v>7</v>
      </c>
      <c r="AE11" s="3">
        <v>5.8</v>
      </c>
      <c r="AF11" s="34">
        <f t="shared" si="0"/>
        <v>0.56999999999999995</v>
      </c>
      <c r="AG11" s="35">
        <f t="shared" si="1"/>
        <v>0.82499999999999996</v>
      </c>
      <c r="AH11" s="36">
        <f t="shared" si="2"/>
        <v>0.53400000000000003</v>
      </c>
    </row>
    <row r="12" spans="1:39" s="1" customFormat="1" ht="26" customHeight="1">
      <c r="A12" s="37">
        <v>2815</v>
      </c>
      <c r="B12" s="3">
        <v>6</v>
      </c>
      <c r="C12" s="8">
        <v>8</v>
      </c>
      <c r="D12" s="3">
        <v>7.3</v>
      </c>
      <c r="E12" s="3">
        <v>3.5</v>
      </c>
      <c r="F12" s="3">
        <v>8</v>
      </c>
      <c r="G12" s="3">
        <v>7.4</v>
      </c>
      <c r="H12" s="3">
        <v>1</v>
      </c>
      <c r="I12" s="3">
        <v>8.5</v>
      </c>
      <c r="J12" s="3">
        <v>7.3</v>
      </c>
      <c r="K12" s="3">
        <v>1</v>
      </c>
      <c r="L12" s="43"/>
      <c r="M12" s="3">
        <v>5</v>
      </c>
      <c r="N12" s="43"/>
      <c r="O12" s="3">
        <v>6</v>
      </c>
      <c r="P12" s="3"/>
      <c r="Q12" s="3">
        <v>2</v>
      </c>
      <c r="R12" s="3">
        <v>7</v>
      </c>
      <c r="S12" s="3">
        <v>7</v>
      </c>
      <c r="T12" s="3">
        <v>2</v>
      </c>
      <c r="U12" s="3"/>
      <c r="V12" s="3"/>
      <c r="W12" s="3"/>
      <c r="X12" s="3">
        <v>8.5</v>
      </c>
      <c r="Y12" s="3">
        <v>8.5</v>
      </c>
      <c r="Z12" s="3">
        <v>1</v>
      </c>
      <c r="AA12" s="3">
        <v>8.5</v>
      </c>
      <c r="AB12" s="3">
        <v>6</v>
      </c>
      <c r="AC12" s="3">
        <v>5</v>
      </c>
      <c r="AD12" s="3"/>
      <c r="AE12" s="3"/>
      <c r="AF12" s="34">
        <f t="shared" si="0"/>
        <v>0.32250000000000001</v>
      </c>
      <c r="AG12" s="35">
        <f t="shared" si="1"/>
        <v>0.8175</v>
      </c>
      <c r="AH12" s="36">
        <f t="shared" si="2"/>
        <v>0.72750000000000004</v>
      </c>
      <c r="AI12"/>
      <c r="AJ12"/>
      <c r="AK12"/>
      <c r="AL12"/>
      <c r="AM12"/>
    </row>
    <row r="13" spans="1:39" s="1" customFormat="1" ht="26" customHeight="1">
      <c r="A13" s="37">
        <v>2830</v>
      </c>
      <c r="B13" s="3">
        <v>5.5</v>
      </c>
      <c r="C13" s="41">
        <v>7.5</v>
      </c>
      <c r="D13" s="3">
        <v>6.5</v>
      </c>
      <c r="E13" s="3">
        <v>2</v>
      </c>
      <c r="F13" s="3">
        <v>8</v>
      </c>
      <c r="G13" s="3">
        <v>8.3000000000000007</v>
      </c>
      <c r="H13" s="3">
        <v>1</v>
      </c>
      <c r="I13" s="3">
        <v>7</v>
      </c>
      <c r="J13" s="3">
        <v>7</v>
      </c>
      <c r="K13" s="3">
        <v>4</v>
      </c>
      <c r="L13" s="3">
        <v>3.5</v>
      </c>
      <c r="M13" s="3">
        <v>6.4</v>
      </c>
      <c r="N13" s="3">
        <v>10</v>
      </c>
      <c r="O13" s="3">
        <v>10</v>
      </c>
      <c r="P13" s="3">
        <v>7.6</v>
      </c>
      <c r="Q13" s="3">
        <v>5</v>
      </c>
      <c r="R13" s="3">
        <v>10</v>
      </c>
      <c r="S13" s="3">
        <v>5.7</v>
      </c>
      <c r="T13" s="3">
        <v>3</v>
      </c>
      <c r="U13" s="3">
        <v>8</v>
      </c>
      <c r="V13" s="3">
        <v>9.1999999999999993</v>
      </c>
      <c r="W13" s="3">
        <v>3</v>
      </c>
      <c r="X13" s="3">
        <v>8</v>
      </c>
      <c r="Y13" s="3">
        <v>9</v>
      </c>
      <c r="Z13" s="3">
        <v>3</v>
      </c>
      <c r="AA13" s="3">
        <v>6.5</v>
      </c>
      <c r="AB13" s="3">
        <v>6.9</v>
      </c>
      <c r="AC13" s="3">
        <v>7</v>
      </c>
      <c r="AD13" s="3">
        <v>8</v>
      </c>
      <c r="AE13" s="3">
        <v>9.3000000000000007</v>
      </c>
      <c r="AF13" s="34">
        <f t="shared" si="0"/>
        <v>0.65249999999999997</v>
      </c>
      <c r="AG13" s="35">
        <f t="shared" si="1"/>
        <v>1.1475</v>
      </c>
      <c r="AH13" s="36">
        <f t="shared" si="2"/>
        <v>1.1385000000000001</v>
      </c>
      <c r="AI13"/>
      <c r="AJ13"/>
      <c r="AK13"/>
      <c r="AL13"/>
      <c r="AM13"/>
    </row>
    <row r="14" spans="1:39" ht="26" customHeight="1">
      <c r="A14" s="37">
        <v>2902</v>
      </c>
      <c r="B14" s="3">
        <v>6.5</v>
      </c>
      <c r="C14" s="3">
        <v>7</v>
      </c>
      <c r="D14" s="3">
        <v>6.9</v>
      </c>
      <c r="E14" s="3">
        <v>3</v>
      </c>
      <c r="F14" s="3">
        <v>6.5</v>
      </c>
      <c r="G14" s="3">
        <v>7.6</v>
      </c>
      <c r="H14" s="3">
        <v>8</v>
      </c>
      <c r="I14" s="3">
        <v>5</v>
      </c>
      <c r="J14" s="3">
        <v>7.7</v>
      </c>
      <c r="K14" s="3">
        <v>8</v>
      </c>
      <c r="L14" s="3">
        <v>6</v>
      </c>
      <c r="M14" s="3">
        <v>5.5</v>
      </c>
      <c r="N14" s="3">
        <v>7</v>
      </c>
      <c r="O14" s="3">
        <v>6</v>
      </c>
      <c r="P14" s="3">
        <v>7.4</v>
      </c>
      <c r="Q14" s="3">
        <v>4</v>
      </c>
      <c r="R14" s="3">
        <v>6</v>
      </c>
      <c r="S14" s="3">
        <v>5.3</v>
      </c>
      <c r="T14" s="3">
        <v>2</v>
      </c>
      <c r="U14" s="4">
        <v>6.5</v>
      </c>
      <c r="V14" s="3">
        <v>6.7</v>
      </c>
      <c r="W14" s="3">
        <v>10</v>
      </c>
      <c r="X14" s="3">
        <v>7</v>
      </c>
      <c r="Y14" s="3">
        <v>6.7</v>
      </c>
      <c r="Z14" s="3">
        <v>3</v>
      </c>
      <c r="AA14" s="3">
        <v>7.5</v>
      </c>
      <c r="AB14" s="3">
        <v>7.2</v>
      </c>
      <c r="AC14" s="3">
        <v>7</v>
      </c>
      <c r="AD14" s="3">
        <v>8</v>
      </c>
      <c r="AE14" s="3">
        <v>9</v>
      </c>
      <c r="AF14" s="34">
        <f t="shared" si="0"/>
        <v>0.87749999999999995</v>
      </c>
      <c r="AG14" s="35">
        <f t="shared" si="1"/>
        <v>0.98250000000000004</v>
      </c>
      <c r="AH14" s="36">
        <f t="shared" si="2"/>
        <v>1.05</v>
      </c>
    </row>
    <row r="15" spans="1:39" s="1" customFormat="1" ht="26" customHeight="1">
      <c r="A15" s="37">
        <v>3349</v>
      </c>
      <c r="B15" s="3">
        <v>5</v>
      </c>
      <c r="C15" s="41">
        <v>6</v>
      </c>
      <c r="D15" s="3">
        <v>5.6</v>
      </c>
      <c r="E15" s="3">
        <v>4</v>
      </c>
      <c r="F15" s="3">
        <v>7</v>
      </c>
      <c r="G15" s="3">
        <v>7.5</v>
      </c>
      <c r="H15" s="3">
        <v>3</v>
      </c>
      <c r="I15" s="3">
        <v>6.5</v>
      </c>
      <c r="J15" s="3">
        <v>8.1</v>
      </c>
      <c r="K15" s="3">
        <v>6</v>
      </c>
      <c r="L15" s="3">
        <v>8</v>
      </c>
      <c r="M15" s="3">
        <v>7.5</v>
      </c>
      <c r="N15" s="3">
        <v>6</v>
      </c>
      <c r="O15" s="3">
        <v>7</v>
      </c>
      <c r="P15" s="3">
        <v>7.5</v>
      </c>
      <c r="Q15" s="3">
        <v>10</v>
      </c>
      <c r="R15" s="3">
        <v>7.5</v>
      </c>
      <c r="S15" s="3">
        <v>6.7</v>
      </c>
      <c r="T15" s="3">
        <v>3</v>
      </c>
      <c r="U15" s="3">
        <v>7</v>
      </c>
      <c r="V15" s="3">
        <v>7.2</v>
      </c>
      <c r="W15" s="3">
        <v>7</v>
      </c>
      <c r="X15" s="3">
        <v>7.5</v>
      </c>
      <c r="Y15" s="3">
        <v>6.2</v>
      </c>
      <c r="Z15" s="3">
        <v>4</v>
      </c>
      <c r="AA15" s="3">
        <v>8</v>
      </c>
      <c r="AB15" s="3">
        <v>8.1</v>
      </c>
      <c r="AC15" s="3">
        <v>2</v>
      </c>
      <c r="AD15" s="3">
        <v>7</v>
      </c>
      <c r="AE15" s="3">
        <v>8.1999999999999993</v>
      </c>
      <c r="AF15" s="34">
        <f t="shared" si="0"/>
        <v>0.75</v>
      </c>
      <c r="AG15" s="35">
        <f t="shared" si="1"/>
        <v>1.0725</v>
      </c>
      <c r="AH15" s="36">
        <f t="shared" si="2"/>
        <v>1.089</v>
      </c>
      <c r="AI15"/>
      <c r="AJ15"/>
      <c r="AK15"/>
      <c r="AL15"/>
      <c r="AM15"/>
    </row>
    <row r="16" spans="1:39" ht="26" customHeight="1">
      <c r="A16" s="38">
        <v>3437</v>
      </c>
      <c r="B16" s="3">
        <v>6</v>
      </c>
      <c r="C16" s="3">
        <v>8</v>
      </c>
      <c r="D16" s="3">
        <v>8.3000000000000007</v>
      </c>
      <c r="E16" s="3">
        <v>6</v>
      </c>
      <c r="F16" s="3">
        <v>7</v>
      </c>
      <c r="G16" s="3">
        <v>8.5</v>
      </c>
      <c r="H16" s="3">
        <v>10</v>
      </c>
      <c r="I16" s="3">
        <v>9</v>
      </c>
      <c r="J16" s="3">
        <v>8.5</v>
      </c>
      <c r="K16" s="3">
        <v>8</v>
      </c>
      <c r="L16" s="3">
        <v>9</v>
      </c>
      <c r="M16" s="3">
        <v>8.8000000000000007</v>
      </c>
      <c r="N16" s="3">
        <v>6</v>
      </c>
      <c r="O16" s="3">
        <v>9</v>
      </c>
      <c r="P16" s="3">
        <v>8</v>
      </c>
      <c r="Q16" s="3">
        <v>10</v>
      </c>
      <c r="R16" s="3">
        <v>7</v>
      </c>
      <c r="S16" s="3">
        <v>5</v>
      </c>
      <c r="T16" s="3">
        <v>1</v>
      </c>
      <c r="U16" s="3">
        <v>8.5</v>
      </c>
      <c r="V16" s="3">
        <v>8.5</v>
      </c>
      <c r="W16" s="3">
        <v>3</v>
      </c>
      <c r="X16" s="3">
        <v>8</v>
      </c>
      <c r="Y16" s="3">
        <v>7.6</v>
      </c>
      <c r="Z16" s="3">
        <v>6</v>
      </c>
      <c r="AA16" s="3">
        <v>9</v>
      </c>
      <c r="AB16" s="3">
        <v>7.5</v>
      </c>
      <c r="AC16" s="3">
        <v>4</v>
      </c>
      <c r="AD16" s="3">
        <v>10</v>
      </c>
      <c r="AE16" s="3">
        <v>9</v>
      </c>
      <c r="AF16" s="34">
        <f t="shared" si="0"/>
        <v>0.9</v>
      </c>
      <c r="AG16" s="35">
        <f t="shared" si="1"/>
        <v>1.2675000000000001</v>
      </c>
      <c r="AH16" s="36">
        <f t="shared" si="2"/>
        <v>1.1955</v>
      </c>
    </row>
    <row r="17" spans="1:35" ht="26" customHeight="1">
      <c r="A17" s="37">
        <v>4026</v>
      </c>
      <c r="B17" s="3">
        <v>5.5</v>
      </c>
      <c r="C17" s="3">
        <v>6.5</v>
      </c>
      <c r="D17" s="3">
        <v>7</v>
      </c>
      <c r="E17" s="3">
        <v>4</v>
      </c>
      <c r="F17" s="3">
        <v>8</v>
      </c>
      <c r="G17" s="3">
        <v>8.4</v>
      </c>
      <c r="H17" s="3">
        <v>2</v>
      </c>
      <c r="I17" s="3">
        <v>10</v>
      </c>
      <c r="J17" s="3">
        <v>8.6999999999999993</v>
      </c>
      <c r="K17" s="3">
        <v>7</v>
      </c>
      <c r="L17" s="3">
        <v>9</v>
      </c>
      <c r="M17" s="3">
        <v>9.3000000000000007</v>
      </c>
      <c r="N17" s="3">
        <v>7</v>
      </c>
      <c r="O17" s="3">
        <v>9</v>
      </c>
      <c r="P17" s="3">
        <v>9.6</v>
      </c>
      <c r="Q17" s="3">
        <v>7</v>
      </c>
      <c r="R17" s="3">
        <v>9</v>
      </c>
      <c r="S17" s="3">
        <v>9.5</v>
      </c>
      <c r="T17" s="3">
        <v>2</v>
      </c>
      <c r="U17" s="3">
        <v>8</v>
      </c>
      <c r="V17" s="3">
        <v>9.6</v>
      </c>
      <c r="W17" s="3">
        <v>7</v>
      </c>
      <c r="X17" s="3">
        <v>9.5</v>
      </c>
      <c r="Y17" s="3">
        <v>8</v>
      </c>
      <c r="Z17" s="3">
        <v>5</v>
      </c>
      <c r="AA17" s="3">
        <v>9</v>
      </c>
      <c r="AB17" s="3">
        <v>8.5</v>
      </c>
      <c r="AC17" s="3">
        <v>10</v>
      </c>
      <c r="AD17" s="3">
        <v>9.5</v>
      </c>
      <c r="AE17" s="3">
        <v>9.4</v>
      </c>
      <c r="AF17" s="34">
        <f t="shared" si="0"/>
        <v>0.84750000000000003</v>
      </c>
      <c r="AG17" s="35">
        <f t="shared" si="1"/>
        <v>1.3125</v>
      </c>
      <c r="AH17" s="36">
        <f t="shared" si="2"/>
        <v>1.3200000000000003</v>
      </c>
    </row>
    <row r="18" spans="1:35" ht="26" customHeight="1">
      <c r="A18" s="37">
        <v>4164</v>
      </c>
      <c r="B18" s="3">
        <v>5.5</v>
      </c>
      <c r="C18" s="3">
        <v>6.5</v>
      </c>
      <c r="D18" s="3">
        <v>7</v>
      </c>
      <c r="E18" s="3">
        <v>4</v>
      </c>
      <c r="F18" s="3">
        <v>5</v>
      </c>
      <c r="G18" s="3">
        <v>5.9</v>
      </c>
      <c r="H18" s="3">
        <v>2</v>
      </c>
      <c r="I18" s="3">
        <v>7</v>
      </c>
      <c r="J18" s="3">
        <v>7.2</v>
      </c>
      <c r="K18" s="3">
        <v>3</v>
      </c>
      <c r="L18" s="3">
        <v>7</v>
      </c>
      <c r="M18" s="3">
        <v>7.6</v>
      </c>
      <c r="N18" s="3">
        <v>8</v>
      </c>
      <c r="O18" s="3">
        <v>9</v>
      </c>
      <c r="P18" s="3">
        <v>8.5</v>
      </c>
      <c r="Q18" s="3">
        <v>5</v>
      </c>
      <c r="R18" s="3">
        <v>7</v>
      </c>
      <c r="S18" s="3">
        <v>7</v>
      </c>
      <c r="T18" s="3">
        <v>6</v>
      </c>
      <c r="U18" s="3">
        <v>7</v>
      </c>
      <c r="V18" s="3">
        <v>5.5</v>
      </c>
      <c r="W18" s="3">
        <v>5</v>
      </c>
      <c r="X18" s="3"/>
      <c r="Y18" s="3"/>
      <c r="Z18" s="3"/>
      <c r="AA18" s="3"/>
      <c r="AB18" s="3"/>
      <c r="AC18" s="3"/>
      <c r="AD18" s="3"/>
      <c r="AE18" s="3"/>
      <c r="AF18" s="34">
        <f t="shared" si="0"/>
        <v>0.57750000000000001</v>
      </c>
      <c r="AG18" s="35">
        <f t="shared" si="1"/>
        <v>0.72750000000000004</v>
      </c>
      <c r="AH18" s="36">
        <f t="shared" si="2"/>
        <v>0.73050000000000015</v>
      </c>
    </row>
    <row r="19" spans="1:35" ht="26" customHeight="1">
      <c r="A19" s="37">
        <v>4257</v>
      </c>
      <c r="B19" s="3">
        <v>10</v>
      </c>
      <c r="C19" s="3">
        <v>8</v>
      </c>
      <c r="D19" s="3">
        <v>7.3</v>
      </c>
      <c r="E19" s="3">
        <v>6.5</v>
      </c>
      <c r="F19" s="3">
        <v>8</v>
      </c>
      <c r="G19" s="3">
        <v>7.4</v>
      </c>
      <c r="H19" s="3">
        <v>7</v>
      </c>
      <c r="I19" s="3">
        <v>8.5</v>
      </c>
      <c r="J19" s="3">
        <v>7.3</v>
      </c>
      <c r="K19" s="3">
        <v>10</v>
      </c>
      <c r="L19" s="3">
        <v>4</v>
      </c>
      <c r="M19" s="3">
        <v>5</v>
      </c>
      <c r="N19" s="3">
        <v>6.5</v>
      </c>
      <c r="O19" s="3">
        <v>6</v>
      </c>
      <c r="P19" s="3">
        <v>4</v>
      </c>
      <c r="Q19" s="3">
        <v>10</v>
      </c>
      <c r="R19" s="3">
        <v>7</v>
      </c>
      <c r="S19" s="3">
        <v>7</v>
      </c>
      <c r="T19" s="3">
        <v>3</v>
      </c>
      <c r="U19" s="3">
        <v>8</v>
      </c>
      <c r="V19" s="3">
        <v>4.2</v>
      </c>
      <c r="W19" s="3">
        <v>10</v>
      </c>
      <c r="X19" s="3">
        <v>8.5</v>
      </c>
      <c r="Y19" s="3">
        <v>8.5</v>
      </c>
      <c r="Z19" s="3">
        <v>4</v>
      </c>
      <c r="AA19" s="3">
        <v>8.5</v>
      </c>
      <c r="AB19" s="3">
        <v>6</v>
      </c>
      <c r="AC19" s="3">
        <v>9</v>
      </c>
      <c r="AD19" s="3">
        <v>8</v>
      </c>
      <c r="AE19" s="3">
        <v>8.4</v>
      </c>
      <c r="AF19" s="34">
        <f t="shared" si="0"/>
        <v>1.1399999999999999</v>
      </c>
      <c r="AG19" s="35">
        <f t="shared" si="1"/>
        <v>1.1174999999999999</v>
      </c>
      <c r="AH19" s="36">
        <f t="shared" si="2"/>
        <v>0.97650000000000003</v>
      </c>
    </row>
    <row r="20" spans="1:35" ht="26" customHeight="1">
      <c r="A20" s="37">
        <v>4616</v>
      </c>
      <c r="B20" s="3">
        <v>3.5</v>
      </c>
      <c r="C20" s="3">
        <v>7</v>
      </c>
      <c r="D20" s="3">
        <v>6.9</v>
      </c>
      <c r="E20" s="3">
        <v>2</v>
      </c>
      <c r="F20" s="3">
        <v>6.5</v>
      </c>
      <c r="G20" s="3">
        <v>7.6</v>
      </c>
      <c r="H20" s="3">
        <v>3</v>
      </c>
      <c r="I20" s="3">
        <v>5</v>
      </c>
      <c r="J20" s="3">
        <v>7.7</v>
      </c>
      <c r="K20" s="3">
        <v>5</v>
      </c>
      <c r="L20" s="3">
        <v>6</v>
      </c>
      <c r="M20" s="3">
        <v>5.5</v>
      </c>
      <c r="N20" s="3">
        <v>6</v>
      </c>
      <c r="O20" s="3">
        <v>6</v>
      </c>
      <c r="P20" s="3">
        <v>7.4</v>
      </c>
      <c r="Q20" s="3">
        <v>10</v>
      </c>
      <c r="R20" s="3">
        <v>6</v>
      </c>
      <c r="S20" s="3">
        <v>5.3</v>
      </c>
      <c r="T20" s="3">
        <v>1</v>
      </c>
      <c r="U20" s="3">
        <v>6.5</v>
      </c>
      <c r="V20" s="3">
        <v>6.7</v>
      </c>
      <c r="W20" s="3">
        <v>6</v>
      </c>
      <c r="X20" s="3">
        <v>7</v>
      </c>
      <c r="Y20" s="3">
        <v>6.7</v>
      </c>
      <c r="Z20" s="3">
        <v>5</v>
      </c>
      <c r="AA20" s="3">
        <v>7.5</v>
      </c>
      <c r="AB20" s="3">
        <v>7.2</v>
      </c>
      <c r="AC20" s="3">
        <v>5</v>
      </c>
      <c r="AD20" s="3">
        <v>8</v>
      </c>
      <c r="AE20" s="3">
        <v>9</v>
      </c>
      <c r="AF20" s="34">
        <f t="shared" si="0"/>
        <v>0.69750000000000001</v>
      </c>
      <c r="AG20" s="35">
        <f t="shared" si="1"/>
        <v>0.98250000000000004</v>
      </c>
      <c r="AH20" s="36">
        <f t="shared" si="2"/>
        <v>1.05</v>
      </c>
    </row>
    <row r="21" spans="1:35" ht="26" customHeight="1">
      <c r="A21" s="38">
        <v>4967</v>
      </c>
      <c r="B21" s="3">
        <v>5</v>
      </c>
      <c r="C21" s="3">
        <v>6.5</v>
      </c>
      <c r="D21" s="3">
        <v>7.4</v>
      </c>
      <c r="E21" s="3">
        <v>2</v>
      </c>
      <c r="F21" s="3">
        <v>5</v>
      </c>
      <c r="G21" s="3">
        <v>4</v>
      </c>
      <c r="H21" s="3">
        <v>5</v>
      </c>
      <c r="I21" s="3">
        <v>5</v>
      </c>
      <c r="J21" s="3">
        <v>7.3</v>
      </c>
      <c r="K21" s="3">
        <v>4</v>
      </c>
      <c r="L21" s="3">
        <v>8</v>
      </c>
      <c r="M21" s="3">
        <v>7.3</v>
      </c>
      <c r="N21" s="3">
        <v>7</v>
      </c>
      <c r="O21" s="3">
        <v>8</v>
      </c>
      <c r="P21" s="3">
        <v>7</v>
      </c>
      <c r="Q21" s="3">
        <v>10</v>
      </c>
      <c r="R21" s="3">
        <v>8</v>
      </c>
      <c r="S21" s="3">
        <v>6.5</v>
      </c>
      <c r="T21" s="3">
        <v>1</v>
      </c>
      <c r="U21" s="3">
        <v>8</v>
      </c>
      <c r="V21" s="3">
        <v>5.7</v>
      </c>
      <c r="W21" s="3">
        <v>1</v>
      </c>
      <c r="X21" s="3">
        <v>6.5</v>
      </c>
      <c r="Y21" s="3">
        <v>6</v>
      </c>
      <c r="Z21" s="3">
        <v>2</v>
      </c>
      <c r="AA21" s="3">
        <v>6.5</v>
      </c>
      <c r="AB21" s="4">
        <v>6.7</v>
      </c>
      <c r="AC21" s="3">
        <v>6</v>
      </c>
      <c r="AD21" s="3">
        <v>7.5</v>
      </c>
      <c r="AE21" s="3">
        <v>7.2</v>
      </c>
      <c r="AF21" s="34">
        <f t="shared" si="0"/>
        <v>0.64500000000000002</v>
      </c>
      <c r="AG21" s="35">
        <f t="shared" si="1"/>
        <v>1.0349999999999999</v>
      </c>
      <c r="AH21" s="36">
        <f t="shared" si="2"/>
        <v>0.97650000000000003</v>
      </c>
    </row>
    <row r="22" spans="1:35" ht="26" customHeight="1">
      <c r="A22" s="38">
        <v>5022</v>
      </c>
      <c r="B22" s="4">
        <v>5</v>
      </c>
      <c r="C22" s="4">
        <v>8</v>
      </c>
      <c r="D22" s="4">
        <v>6.7</v>
      </c>
      <c r="E22" s="4">
        <v>3</v>
      </c>
      <c r="F22" s="4">
        <v>8</v>
      </c>
      <c r="G22" s="4">
        <v>8.6</v>
      </c>
      <c r="H22" s="4">
        <v>5</v>
      </c>
      <c r="I22" s="4">
        <v>10</v>
      </c>
      <c r="J22" s="4">
        <v>8.6999999999999993</v>
      </c>
      <c r="K22" s="4">
        <v>5</v>
      </c>
      <c r="L22" s="4">
        <v>9</v>
      </c>
      <c r="M22" s="4">
        <v>7.9</v>
      </c>
      <c r="N22" s="4">
        <v>3</v>
      </c>
      <c r="O22" s="4">
        <v>9</v>
      </c>
      <c r="P22" s="4">
        <v>8.8000000000000007</v>
      </c>
      <c r="Q22" s="4">
        <v>5</v>
      </c>
      <c r="R22" s="4">
        <v>8</v>
      </c>
      <c r="S22" s="4">
        <v>8</v>
      </c>
      <c r="T22" s="4">
        <v>2</v>
      </c>
      <c r="U22" s="4">
        <v>8.5</v>
      </c>
      <c r="V22" s="4">
        <v>7.3</v>
      </c>
      <c r="W22" s="4">
        <v>10</v>
      </c>
      <c r="X22" s="4">
        <v>7.5</v>
      </c>
      <c r="Y22" s="4">
        <v>7.5</v>
      </c>
      <c r="Z22" s="4">
        <v>7</v>
      </c>
      <c r="AA22" s="4">
        <v>9.5</v>
      </c>
      <c r="AB22" s="4">
        <v>8.1999999999999993</v>
      </c>
      <c r="AC22" s="4">
        <v>8</v>
      </c>
      <c r="AD22" s="4">
        <v>10</v>
      </c>
      <c r="AE22" s="4">
        <v>9</v>
      </c>
      <c r="AF22" s="34">
        <f t="shared" si="0"/>
        <v>0.79500000000000004</v>
      </c>
      <c r="AG22" s="35">
        <f t="shared" si="1"/>
        <v>1.3125</v>
      </c>
      <c r="AH22" s="36">
        <f t="shared" si="2"/>
        <v>1.2105000000000001</v>
      </c>
    </row>
    <row r="23" spans="1:35" ht="26" customHeight="1">
      <c r="A23" s="37">
        <v>6642</v>
      </c>
      <c r="B23" s="3">
        <v>8</v>
      </c>
      <c r="C23" s="3">
        <v>8</v>
      </c>
      <c r="D23" s="3">
        <v>6.7</v>
      </c>
      <c r="E23" s="3">
        <v>7.5</v>
      </c>
      <c r="F23" s="3">
        <v>8</v>
      </c>
      <c r="G23" s="3">
        <v>8.6</v>
      </c>
      <c r="H23" s="3">
        <v>10</v>
      </c>
      <c r="I23" s="3">
        <v>10</v>
      </c>
      <c r="J23" s="3">
        <v>8.6999999999999993</v>
      </c>
      <c r="K23" s="3">
        <v>9</v>
      </c>
      <c r="L23" s="3">
        <v>9</v>
      </c>
      <c r="M23" s="3">
        <v>7.9</v>
      </c>
      <c r="N23" s="3">
        <v>7</v>
      </c>
      <c r="O23" s="3">
        <v>9</v>
      </c>
      <c r="P23" s="3">
        <v>8.8000000000000007</v>
      </c>
      <c r="Q23" s="3">
        <v>10</v>
      </c>
      <c r="R23" s="3">
        <v>8</v>
      </c>
      <c r="S23" s="3">
        <v>8</v>
      </c>
      <c r="T23" s="3">
        <v>5</v>
      </c>
      <c r="U23" s="3">
        <v>8.5</v>
      </c>
      <c r="V23" s="3">
        <v>7.3</v>
      </c>
      <c r="W23" s="3">
        <v>10</v>
      </c>
      <c r="X23" s="3">
        <v>7.5</v>
      </c>
      <c r="Y23" s="3">
        <v>7.5</v>
      </c>
      <c r="Z23" s="3">
        <v>8</v>
      </c>
      <c r="AA23" s="3">
        <v>9.5</v>
      </c>
      <c r="AB23" s="3">
        <v>8.1999999999999993</v>
      </c>
      <c r="AC23" s="3">
        <v>9</v>
      </c>
      <c r="AD23" s="3">
        <v>10</v>
      </c>
      <c r="AE23" s="3">
        <v>9</v>
      </c>
      <c r="AF23" s="34">
        <f t="shared" si="0"/>
        <v>1.2524999999999999</v>
      </c>
      <c r="AG23" s="35">
        <f t="shared" si="1"/>
        <v>1.3125</v>
      </c>
      <c r="AH23" s="36">
        <f t="shared" si="2"/>
        <v>1.2105000000000001</v>
      </c>
    </row>
    <row r="24" spans="1:35" ht="26" customHeight="1">
      <c r="A24" s="38">
        <v>7978</v>
      </c>
      <c r="B24" s="3">
        <v>3</v>
      </c>
      <c r="C24" s="3">
        <v>7</v>
      </c>
      <c r="D24" s="3">
        <v>6.9</v>
      </c>
      <c r="E24" s="3">
        <v>2.5</v>
      </c>
      <c r="F24" s="3">
        <v>6.5</v>
      </c>
      <c r="G24" s="3">
        <v>7.6</v>
      </c>
      <c r="H24" s="3">
        <v>5</v>
      </c>
      <c r="I24" s="3">
        <v>5</v>
      </c>
      <c r="J24" s="3">
        <v>7.7</v>
      </c>
      <c r="K24" s="3">
        <v>5</v>
      </c>
      <c r="L24" s="3">
        <v>6</v>
      </c>
      <c r="M24" s="3">
        <v>5.5</v>
      </c>
      <c r="N24" s="3">
        <v>3</v>
      </c>
      <c r="O24" s="3">
        <v>6</v>
      </c>
      <c r="P24" s="3">
        <v>7.4</v>
      </c>
      <c r="Q24" s="3">
        <v>5</v>
      </c>
      <c r="R24" s="3">
        <v>6</v>
      </c>
      <c r="S24" s="3">
        <v>5.3</v>
      </c>
      <c r="T24" s="3">
        <v>2</v>
      </c>
      <c r="U24" s="3">
        <v>6.5</v>
      </c>
      <c r="V24" s="3">
        <v>6.7</v>
      </c>
      <c r="W24" s="3">
        <v>5</v>
      </c>
      <c r="X24" s="3">
        <v>7</v>
      </c>
      <c r="Y24" s="3">
        <v>6.7</v>
      </c>
      <c r="Z24" s="3">
        <v>3</v>
      </c>
      <c r="AA24" s="3"/>
      <c r="AB24" s="4">
        <v>7.2</v>
      </c>
      <c r="AC24" s="3">
        <v>5</v>
      </c>
      <c r="AD24" s="3"/>
      <c r="AE24" s="3">
        <v>9</v>
      </c>
      <c r="AF24" s="34">
        <f t="shared" si="0"/>
        <v>0.57750000000000001</v>
      </c>
      <c r="AG24" s="35">
        <f t="shared" si="1"/>
        <v>0.75</v>
      </c>
      <c r="AH24" s="36">
        <f t="shared" si="2"/>
        <v>1.05</v>
      </c>
    </row>
    <row r="25" spans="1:35" ht="26" customHeight="1">
      <c r="A25" s="38">
        <v>7999</v>
      </c>
      <c r="B25" s="3">
        <v>7</v>
      </c>
      <c r="C25" s="3">
        <v>8</v>
      </c>
      <c r="D25" s="3">
        <v>8.3000000000000007</v>
      </c>
      <c r="E25" s="3">
        <v>7</v>
      </c>
      <c r="F25" s="3">
        <v>7</v>
      </c>
      <c r="G25" s="3">
        <v>8.5</v>
      </c>
      <c r="H25" s="3">
        <v>5</v>
      </c>
      <c r="I25" s="3">
        <v>9</v>
      </c>
      <c r="J25" s="3">
        <v>8.5</v>
      </c>
      <c r="K25" s="3">
        <v>7</v>
      </c>
      <c r="L25" s="3">
        <v>9</v>
      </c>
      <c r="M25" s="3">
        <v>8.8000000000000007</v>
      </c>
      <c r="N25" s="3">
        <v>8</v>
      </c>
      <c r="O25" s="3">
        <v>9</v>
      </c>
      <c r="P25" s="3">
        <v>8</v>
      </c>
      <c r="Q25" s="3">
        <v>10</v>
      </c>
      <c r="R25" s="3">
        <v>7</v>
      </c>
      <c r="S25" s="3">
        <v>5</v>
      </c>
      <c r="T25" s="3">
        <v>7</v>
      </c>
      <c r="U25" s="3">
        <v>8.5</v>
      </c>
      <c r="V25" s="3">
        <v>8.5</v>
      </c>
      <c r="W25" s="3">
        <v>10</v>
      </c>
      <c r="X25" s="3">
        <v>8</v>
      </c>
      <c r="Y25" s="3">
        <v>7.6</v>
      </c>
      <c r="Z25" s="3">
        <v>8</v>
      </c>
      <c r="AA25" s="3">
        <v>9</v>
      </c>
      <c r="AB25" s="3">
        <v>7.5</v>
      </c>
      <c r="AC25" s="3">
        <v>9</v>
      </c>
      <c r="AD25" s="3">
        <v>10</v>
      </c>
      <c r="AE25" s="3">
        <v>9</v>
      </c>
      <c r="AF25" s="34">
        <f t="shared" si="0"/>
        <v>1.17</v>
      </c>
      <c r="AG25" s="35">
        <f t="shared" si="1"/>
        <v>1.2675000000000001</v>
      </c>
      <c r="AH25" s="36">
        <f t="shared" si="2"/>
        <v>1.1955</v>
      </c>
    </row>
    <row r="26" spans="1:35" ht="26" customHeight="1">
      <c r="A26" s="37">
        <v>8335</v>
      </c>
      <c r="B26" s="3">
        <v>4</v>
      </c>
      <c r="C26" s="3">
        <v>8</v>
      </c>
      <c r="D26" s="3">
        <v>7.3</v>
      </c>
      <c r="E26" s="3">
        <v>1.5</v>
      </c>
      <c r="F26" s="3">
        <v>8</v>
      </c>
      <c r="G26" s="3">
        <v>7.4</v>
      </c>
      <c r="H26" s="3">
        <v>4</v>
      </c>
      <c r="I26" s="3">
        <v>8.5</v>
      </c>
      <c r="J26" s="3">
        <v>7.3</v>
      </c>
      <c r="K26" s="3">
        <v>2</v>
      </c>
      <c r="L26" s="3">
        <v>4</v>
      </c>
      <c r="M26" s="3">
        <v>5</v>
      </c>
      <c r="N26" s="3">
        <v>5</v>
      </c>
      <c r="O26" s="3">
        <v>6</v>
      </c>
      <c r="P26" s="3">
        <v>4</v>
      </c>
      <c r="Q26" s="3">
        <v>2</v>
      </c>
      <c r="R26" s="3">
        <v>7</v>
      </c>
      <c r="S26" s="3">
        <v>7</v>
      </c>
      <c r="T26" s="3">
        <v>1</v>
      </c>
      <c r="U26" s="3">
        <v>8</v>
      </c>
      <c r="V26" s="3">
        <v>4.2</v>
      </c>
      <c r="W26" s="3">
        <v>10</v>
      </c>
      <c r="X26" s="3">
        <v>8.5</v>
      </c>
      <c r="Y26" s="3">
        <v>8.5</v>
      </c>
      <c r="Z26" s="3">
        <v>1</v>
      </c>
      <c r="AA26" s="3">
        <v>8.5</v>
      </c>
      <c r="AB26" s="3">
        <v>6</v>
      </c>
      <c r="AC26" s="3">
        <v>4</v>
      </c>
      <c r="AD26" s="3">
        <v>8</v>
      </c>
      <c r="AE26" s="3">
        <v>8.4</v>
      </c>
      <c r="AF26" s="34">
        <f t="shared" si="0"/>
        <v>0.51749999999999996</v>
      </c>
      <c r="AG26" s="35">
        <f t="shared" si="1"/>
        <v>1.1174999999999999</v>
      </c>
      <c r="AH26" s="36">
        <f t="shared" si="2"/>
        <v>0.97650000000000003</v>
      </c>
    </row>
    <row r="27" spans="1:35" ht="1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26" customHeight="1">
      <c r="A28" s="9" t="s">
        <v>4</v>
      </c>
      <c r="B28" s="10">
        <f>IF(SUM(B3:B26)&gt;0,10,0)</f>
        <v>10</v>
      </c>
      <c r="C28" s="10">
        <v>10</v>
      </c>
      <c r="D28" s="10">
        <f t="shared" ref="D28:AE28" si="3">IF(SUM(D3:D26)&gt;0,10,0)</f>
        <v>10</v>
      </c>
      <c r="E28" s="10">
        <f t="shared" si="3"/>
        <v>10</v>
      </c>
      <c r="F28" s="10">
        <f t="shared" si="3"/>
        <v>10</v>
      </c>
      <c r="G28" s="10">
        <f t="shared" si="3"/>
        <v>10</v>
      </c>
      <c r="H28" s="10">
        <f t="shared" si="3"/>
        <v>10</v>
      </c>
      <c r="I28" s="10">
        <f t="shared" si="3"/>
        <v>10</v>
      </c>
      <c r="J28" s="10">
        <f t="shared" si="3"/>
        <v>10</v>
      </c>
      <c r="K28" s="10">
        <f t="shared" si="3"/>
        <v>10</v>
      </c>
      <c r="L28" s="10">
        <f t="shared" si="3"/>
        <v>10</v>
      </c>
      <c r="M28" s="10">
        <f t="shared" si="3"/>
        <v>10</v>
      </c>
      <c r="N28" s="10">
        <f t="shared" si="3"/>
        <v>10</v>
      </c>
      <c r="O28" s="10">
        <f t="shared" si="3"/>
        <v>10</v>
      </c>
      <c r="P28" s="10">
        <f t="shared" si="3"/>
        <v>10</v>
      </c>
      <c r="Q28" s="10">
        <f t="shared" si="3"/>
        <v>10</v>
      </c>
      <c r="R28" s="10">
        <f t="shared" si="3"/>
        <v>10</v>
      </c>
      <c r="S28" s="10">
        <f t="shared" si="3"/>
        <v>10</v>
      </c>
      <c r="T28" s="10">
        <f t="shared" si="3"/>
        <v>10</v>
      </c>
      <c r="U28" s="10">
        <f t="shared" si="3"/>
        <v>10</v>
      </c>
      <c r="V28" s="10">
        <f t="shared" si="3"/>
        <v>10</v>
      </c>
      <c r="W28" s="10">
        <f t="shared" si="3"/>
        <v>10</v>
      </c>
      <c r="X28" s="10">
        <f t="shared" si="3"/>
        <v>10</v>
      </c>
      <c r="Y28" s="10">
        <f t="shared" si="3"/>
        <v>10</v>
      </c>
      <c r="Z28" s="10">
        <f t="shared" si="3"/>
        <v>10</v>
      </c>
      <c r="AA28" s="10">
        <f t="shared" si="3"/>
        <v>10</v>
      </c>
      <c r="AB28" s="10">
        <f t="shared" si="3"/>
        <v>10</v>
      </c>
      <c r="AC28" s="10">
        <f t="shared" si="3"/>
        <v>10</v>
      </c>
      <c r="AD28" s="10">
        <f t="shared" si="3"/>
        <v>10</v>
      </c>
      <c r="AE28" s="10">
        <f t="shared" si="3"/>
        <v>10</v>
      </c>
      <c r="AF28" s="11">
        <f>SUM(B28,E28,H28,K28,N28,Q28,T28,W28,Z28,AC28)</f>
        <v>100</v>
      </c>
      <c r="AG28" s="11">
        <f>SUM(C28,F28,I28,L28,O28,R28,U28,X28,AA28,AD28)</f>
        <v>100</v>
      </c>
      <c r="AH28" s="11">
        <f>SUM(D28,G28,J28,M28,P28,S28,V28,Y28,AB28,AE28)</f>
        <v>100</v>
      </c>
    </row>
    <row r="29" spans="1:35" ht="26" customHeight="1">
      <c r="A29" s="7" t="s">
        <v>1</v>
      </c>
      <c r="B29" s="8">
        <f t="shared" ref="B29:AH29" si="4">AVERAGE(B$3:B$26)</f>
        <v>5.770833333333333</v>
      </c>
      <c r="C29" s="8">
        <f t="shared" si="4"/>
        <v>7.395833333333333</v>
      </c>
      <c r="D29" s="8">
        <f t="shared" si="4"/>
        <v>7.25</v>
      </c>
      <c r="E29" s="8">
        <f t="shared" si="4"/>
        <v>4.166666666666667</v>
      </c>
      <c r="F29" s="8">
        <f t="shared" si="4"/>
        <v>7.270833333333333</v>
      </c>
      <c r="G29" s="8">
        <f t="shared" si="4"/>
        <v>7.6749999999999998</v>
      </c>
      <c r="H29" s="8">
        <f t="shared" si="4"/>
        <v>5.229166666666667</v>
      </c>
      <c r="I29" s="8">
        <f t="shared" si="4"/>
        <v>7.6875</v>
      </c>
      <c r="J29" s="8">
        <f t="shared" si="4"/>
        <v>7.9416666666666655</v>
      </c>
      <c r="K29" s="8">
        <f t="shared" si="4"/>
        <v>5.916666666666667</v>
      </c>
      <c r="L29" s="8">
        <f t="shared" si="4"/>
        <v>7.1904761904761907</v>
      </c>
      <c r="M29" s="8">
        <f t="shared" si="4"/>
        <v>7.327272727272728</v>
      </c>
      <c r="N29" s="8">
        <f t="shared" si="4"/>
        <v>6.7045454545454541</v>
      </c>
      <c r="O29" s="8">
        <f t="shared" si="4"/>
        <v>8.0434782608695645</v>
      </c>
      <c r="P29" s="8">
        <f t="shared" si="4"/>
        <v>7.6590909090909101</v>
      </c>
      <c r="Q29" s="8">
        <f t="shared" si="4"/>
        <v>7.375</v>
      </c>
      <c r="R29" s="8">
        <f t="shared" si="4"/>
        <v>7.8863636363636367</v>
      </c>
      <c r="S29" s="8">
        <f t="shared" si="4"/>
        <v>6.8434782608695652</v>
      </c>
      <c r="T29" s="8">
        <f t="shared" si="4"/>
        <v>3.3913043478260869</v>
      </c>
      <c r="U29" s="8">
        <f t="shared" si="4"/>
        <v>7.8181818181818183</v>
      </c>
      <c r="V29" s="8">
        <f t="shared" si="4"/>
        <v>7.4428571428571422</v>
      </c>
      <c r="W29" s="8">
        <f t="shared" si="4"/>
        <v>6.5652173913043477</v>
      </c>
      <c r="X29" s="8">
        <f t="shared" si="4"/>
        <v>7.8863636363636367</v>
      </c>
      <c r="Y29" s="8">
        <f t="shared" si="4"/>
        <v>7.2904761904761903</v>
      </c>
      <c r="Z29" s="8">
        <f t="shared" si="4"/>
        <v>4.6956521739130439</v>
      </c>
      <c r="AA29" s="8">
        <f t="shared" si="4"/>
        <v>8.2857142857142865</v>
      </c>
      <c r="AB29" s="8">
        <f t="shared" si="4"/>
        <v>7.5619047619047608</v>
      </c>
      <c r="AC29" s="8">
        <f t="shared" si="4"/>
        <v>6.5652173913043477</v>
      </c>
      <c r="AD29" s="8">
        <f t="shared" si="4"/>
        <v>8.6750000000000007</v>
      </c>
      <c r="AE29" s="8">
        <f t="shared" si="4"/>
        <v>8.5904761904761902</v>
      </c>
      <c r="AF29" s="8">
        <f t="shared" si="4"/>
        <v>0.82406250000000014</v>
      </c>
      <c r="AG29" s="8">
        <f t="shared" si="4"/>
        <v>1.086875</v>
      </c>
      <c r="AH29" s="8">
        <f t="shared" si="4"/>
        <v>1.0528125000000004</v>
      </c>
    </row>
    <row r="30" spans="1:35" ht="26" customHeight="1">
      <c r="A30" s="5" t="s">
        <v>2</v>
      </c>
      <c r="B30" s="3">
        <f t="shared" ref="B30:AH30" si="5">STDEV(B$3:B$26)</f>
        <v>1.8295827908039031</v>
      </c>
      <c r="C30" s="3">
        <f t="shared" si="5"/>
        <v>0.72200154562442442</v>
      </c>
      <c r="D30" s="3">
        <f t="shared" si="5"/>
        <v>0.90984948588023074</v>
      </c>
      <c r="E30" s="3">
        <f t="shared" si="5"/>
        <v>2.3109694308114346</v>
      </c>
      <c r="F30" s="3">
        <f t="shared" si="5"/>
        <v>1.1226827987756218</v>
      </c>
      <c r="G30" s="3">
        <f t="shared" si="5"/>
        <v>1.3520515812131106</v>
      </c>
      <c r="H30" s="3">
        <f t="shared" si="5"/>
        <v>3.0215859881952678</v>
      </c>
      <c r="I30" s="3">
        <f t="shared" si="5"/>
        <v>1.7742879772142279</v>
      </c>
      <c r="J30" s="3">
        <f t="shared" si="5"/>
        <v>0.72706477593526497</v>
      </c>
      <c r="K30" s="3">
        <f t="shared" si="5"/>
        <v>2.4657068246098395</v>
      </c>
      <c r="L30" s="3">
        <f t="shared" si="5"/>
        <v>2.0029739793379142</v>
      </c>
      <c r="M30" s="3">
        <f t="shared" si="5"/>
        <v>1.5535464246383166</v>
      </c>
      <c r="N30" s="3">
        <f t="shared" si="5"/>
        <v>2.0968178322508191</v>
      </c>
      <c r="O30" s="3">
        <f t="shared" si="5"/>
        <v>1.4295028019803138</v>
      </c>
      <c r="P30" s="3">
        <f t="shared" si="5"/>
        <v>1.5317773961453975</v>
      </c>
      <c r="Q30" s="3">
        <f t="shared" si="5"/>
        <v>3.2277667606054754</v>
      </c>
      <c r="R30" s="3">
        <f t="shared" si="5"/>
        <v>1.2623845367457234</v>
      </c>
      <c r="S30" s="3">
        <f t="shared" si="5"/>
        <v>1.6645572949412992</v>
      </c>
      <c r="T30" s="3">
        <f t="shared" si="5"/>
        <v>2.1687686165778413</v>
      </c>
      <c r="U30" s="3">
        <f t="shared" si="5"/>
        <v>0.7162311170195087</v>
      </c>
      <c r="V30" s="3">
        <f t="shared" si="5"/>
        <v>1.7133509356146073</v>
      </c>
      <c r="W30" s="3">
        <f t="shared" si="5"/>
        <v>3.3415577063905904</v>
      </c>
      <c r="X30" s="3">
        <f t="shared" si="5"/>
        <v>0.87194115929997329</v>
      </c>
      <c r="Y30" s="3">
        <f t="shared" si="5"/>
        <v>1.2255222404774091</v>
      </c>
      <c r="Z30" s="3">
        <f t="shared" si="5"/>
        <v>2.5124197428827211</v>
      </c>
      <c r="AA30" s="3">
        <f t="shared" si="5"/>
        <v>1.1354671788676725</v>
      </c>
      <c r="AB30" s="3">
        <f t="shared" si="5"/>
        <v>1.0244394518350979</v>
      </c>
      <c r="AC30" s="3">
        <f t="shared" si="5"/>
        <v>2.4647715541666839</v>
      </c>
      <c r="AD30" s="3">
        <f t="shared" si="5"/>
        <v>1.0794126082955353</v>
      </c>
      <c r="AE30" s="3">
        <f t="shared" si="5"/>
        <v>0.90824267787015345</v>
      </c>
      <c r="AF30" s="3">
        <f t="shared" si="5"/>
        <v>0.28615879266513011</v>
      </c>
      <c r="AG30" s="3">
        <f t="shared" si="5"/>
        <v>0.25014805398612122</v>
      </c>
      <c r="AH30" s="3">
        <f t="shared" si="5"/>
        <v>0.25338220024732117</v>
      </c>
    </row>
    <row r="31" spans="1:35" ht="26" customHeight="1">
      <c r="A31" s="6" t="s">
        <v>3</v>
      </c>
      <c r="B31" s="3">
        <f>MEDIAN(B$3:B$26)</f>
        <v>5.5</v>
      </c>
      <c r="C31" s="3">
        <f t="shared" ref="C31:AE31" si="6">MEDIAN(C$3:C$26)</f>
        <v>7.75</v>
      </c>
      <c r="D31" s="3">
        <f t="shared" si="6"/>
        <v>7</v>
      </c>
      <c r="E31" s="3">
        <f t="shared" si="6"/>
        <v>3.5</v>
      </c>
      <c r="F31" s="3">
        <f t="shared" si="6"/>
        <v>7.5</v>
      </c>
      <c r="G31" s="3">
        <f t="shared" si="6"/>
        <v>7.7</v>
      </c>
      <c r="H31" s="3">
        <f t="shared" si="6"/>
        <v>5</v>
      </c>
      <c r="I31" s="3">
        <f t="shared" si="6"/>
        <v>8.5</v>
      </c>
      <c r="J31" s="3">
        <f t="shared" si="6"/>
        <v>7.9</v>
      </c>
      <c r="K31" s="3">
        <f t="shared" si="6"/>
        <v>5.5</v>
      </c>
      <c r="L31" s="3">
        <f t="shared" si="6"/>
        <v>8</v>
      </c>
      <c r="M31" s="3">
        <f t="shared" si="6"/>
        <v>7.55</v>
      </c>
      <c r="N31" s="3">
        <f t="shared" si="6"/>
        <v>7</v>
      </c>
      <c r="O31" s="3">
        <f t="shared" si="6"/>
        <v>9</v>
      </c>
      <c r="P31" s="3">
        <f t="shared" si="6"/>
        <v>7.8</v>
      </c>
      <c r="Q31" s="3">
        <f t="shared" si="6"/>
        <v>10</v>
      </c>
      <c r="R31" s="3">
        <f t="shared" si="6"/>
        <v>8</v>
      </c>
      <c r="S31" s="3">
        <f t="shared" si="6"/>
        <v>7</v>
      </c>
      <c r="T31" s="3">
        <f t="shared" si="6"/>
        <v>2</v>
      </c>
      <c r="U31" s="3">
        <f t="shared" si="6"/>
        <v>8</v>
      </c>
      <c r="V31" s="3">
        <f t="shared" si="6"/>
        <v>7.3</v>
      </c>
      <c r="W31" s="3">
        <f t="shared" si="6"/>
        <v>7</v>
      </c>
      <c r="X31" s="3">
        <f t="shared" si="6"/>
        <v>8</v>
      </c>
      <c r="Y31" s="3">
        <f t="shared" si="6"/>
        <v>7.5</v>
      </c>
      <c r="Z31" s="3">
        <f t="shared" si="6"/>
        <v>4</v>
      </c>
      <c r="AA31" s="3">
        <f t="shared" si="6"/>
        <v>8.5</v>
      </c>
      <c r="AB31" s="3">
        <f t="shared" si="6"/>
        <v>7.5</v>
      </c>
      <c r="AC31" s="3">
        <f t="shared" si="6"/>
        <v>7</v>
      </c>
      <c r="AD31" s="3">
        <f t="shared" si="6"/>
        <v>8.5</v>
      </c>
      <c r="AE31" s="3">
        <f t="shared" si="6"/>
        <v>9</v>
      </c>
      <c r="AF31" s="3">
        <f>MEDIAN(AF$3:AF$26)</f>
        <v>0.82125000000000004</v>
      </c>
      <c r="AG31" s="3">
        <f>MEDIAN(AG$3:AG$26)</f>
        <v>1.1324999999999998</v>
      </c>
      <c r="AH31" s="3">
        <f>MEDIAN(AH$3:AH$26)</f>
        <v>1.11375</v>
      </c>
    </row>
  </sheetData>
  <sortState ref="A4:AH26">
    <sortCondition ref="A3:A26"/>
  </sortState>
  <mergeCells count="12">
    <mergeCell ref="AC1:AE1"/>
    <mergeCell ref="AF1:AH1"/>
    <mergeCell ref="N1:P1"/>
    <mergeCell ref="A1:A2"/>
    <mergeCell ref="Q1:S1"/>
    <mergeCell ref="T1:V1"/>
    <mergeCell ref="W1:Y1"/>
    <mergeCell ref="B1:D1"/>
    <mergeCell ref="E1:G1"/>
    <mergeCell ref="H1:J1"/>
    <mergeCell ref="K1:M1"/>
    <mergeCell ref="Z1:AB1"/>
  </mergeCells>
  <phoneticPr fontId="1" type="noConversion"/>
  <pageMargins left="0.75" right="0.75" top="1" bottom="1" header="0.5" footer="0.5"/>
  <pageSetup paperSize="10" scale="31" orientation="portrait" horizontalDpi="4294967292" verticalDpi="4294967292"/>
  <rowBreaks count="1" manualBreakCount="1">
    <brk id="46" max="16383" man="1"/>
  </rowBreaks>
  <colBreaks count="1" manualBreakCount="1">
    <brk id="38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Labs</vt:lpstr>
    </vt:vector>
  </TitlesOfParts>
  <Company>University of Cyprus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fotis ptohos</dc:creator>
  <cp:lastModifiedBy>Fotis SuperCollider</cp:lastModifiedBy>
  <cp:lastPrinted>2014-09-16T12:21:50Z</cp:lastPrinted>
  <dcterms:created xsi:type="dcterms:W3CDTF">2008-12-23T18:00:59Z</dcterms:created>
  <dcterms:modified xsi:type="dcterms:W3CDTF">2019-12-03T13:19:54Z</dcterms:modified>
</cp:coreProperties>
</file>